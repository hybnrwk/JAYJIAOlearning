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 filterPrivacy="1"/>
  <xr:revisionPtr revIDLastSave="0" documentId="13_ncr:1_{E20391D0-8E22-F840-852C-153F0FCC7C89}" xr6:coauthVersionLast="47" xr6:coauthVersionMax="47" xr10:uidLastSave="{00000000-0000-0000-0000-000000000000}"/>
  <bookViews>
    <workbookView xWindow="0" yWindow="680" windowWidth="28180" windowHeight="17320" activeTab="2" xr2:uid="{00000000-000D-0000-FFFF-FFFF00000000}"/>
  </bookViews>
  <sheets>
    <sheet name="Sheet3" sheetId="4" r:id="rId1"/>
    <sheet name="现值比较" sheetId="2" r:id="rId2"/>
    <sheet name="内部收益率" sheetId="3" r:id="rId3"/>
  </sheets>
  <definedNames>
    <definedName name="solver_eng" localSheetId="2" hidden="1">1</definedName>
    <definedName name="solver_lin" localSheetId="2" hidden="1">2</definedName>
    <definedName name="solver_neg" localSheetId="2" hidden="1">1</definedName>
    <definedName name="solver_num" localSheetId="2" hidden="1">0</definedName>
    <definedName name="solver_opt" localSheetId="2" hidden="1">内部收益率!$J$4</definedName>
    <definedName name="solver_typ" localSheetId="2" hidden="1">1</definedName>
    <definedName name="solver_val" localSheetId="2" hidden="1">0</definedName>
    <definedName name="solver_ver" localSheetId="2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F4" i="2"/>
  <c r="G4" i="2"/>
  <c r="H4" i="2"/>
  <c r="I4" i="2"/>
  <c r="D4" i="2" l="1"/>
  <c r="D10" i="3" l="1"/>
  <c r="E10" i="3"/>
  <c r="F10" i="3"/>
  <c r="G10" i="3"/>
  <c r="H10" i="3"/>
  <c r="D7" i="3"/>
  <c r="E7" i="3"/>
  <c r="F7" i="3"/>
  <c r="G7" i="3"/>
  <c r="C10" i="3"/>
  <c r="C7" i="3"/>
  <c r="D4" i="3"/>
  <c r="E4" i="3"/>
  <c r="F4" i="3"/>
  <c r="G4" i="3"/>
  <c r="H4" i="3"/>
  <c r="I4" i="3"/>
  <c r="C4" i="3"/>
  <c r="D10" i="2"/>
  <c r="E10" i="2"/>
  <c r="F10" i="2"/>
  <c r="G10" i="2"/>
  <c r="H10" i="2"/>
  <c r="C10" i="2"/>
  <c r="D7" i="2"/>
  <c r="E7" i="2"/>
  <c r="F7" i="2"/>
  <c r="G7" i="2"/>
  <c r="C7" i="2"/>
  <c r="C4" i="2"/>
  <c r="J4" i="2" s="1"/>
  <c r="J7" i="2" l="1"/>
  <c r="J4" i="3"/>
  <c r="J7" i="3"/>
  <c r="J10" i="3"/>
  <c r="J10" i="2"/>
</calcChain>
</file>

<file path=xl/sharedStrings.xml><?xml version="1.0" encoding="utf-8"?>
<sst xmlns="http://schemas.openxmlformats.org/spreadsheetml/2006/main" count="37" uniqueCount="13">
  <si>
    <t>时间(年)</t>
    <phoneticPr fontId="1" type="noConversion"/>
  </si>
  <si>
    <t>投资1</t>
    <phoneticPr fontId="1" type="noConversion"/>
  </si>
  <si>
    <t>投资2</t>
    <phoneticPr fontId="1" type="noConversion"/>
  </si>
  <si>
    <t>投资3</t>
    <phoneticPr fontId="1" type="noConversion"/>
  </si>
  <si>
    <t>初始投资</t>
    <phoneticPr fontId="1" type="noConversion"/>
  </si>
  <si>
    <t>年利率=</t>
    <phoneticPr fontId="1" type="noConversion"/>
  </si>
  <si>
    <t>现金流（万元）</t>
    <phoneticPr fontId="1" type="noConversion"/>
  </si>
  <si>
    <t>现值</t>
    <phoneticPr fontId="1" type="noConversion"/>
  </si>
  <si>
    <t>单期现值</t>
    <phoneticPr fontId="1" type="noConversion"/>
  </si>
  <si>
    <t>单期现值</t>
    <phoneticPr fontId="1" type="noConversion"/>
  </si>
  <si>
    <t>内部收益率</t>
    <phoneticPr fontId="1" type="noConversion"/>
  </si>
  <si>
    <t>总现值</t>
    <phoneticPr fontId="1" type="noConversion"/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</si>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</sst>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"/>
    <numFmt numFmtId="165" formatCode="0.000_ "/>
    <numFmt numFmtId="166" formatCode="0.00_);[Red]\(0.00\)"/>
  </numFmts>
  <fonts count="7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3"/>
      <charset val="134"/>
      <scheme val="minor"/>
    </font>
    <font>
      <b/>
      <sz val="12"/>
      <color theme="1"/>
      <name val="Calibri"/>
      <family val="3"/>
      <charset val="134"/>
      <scheme val="minor"/>
    </font>
    <font>
      <b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1" xfId="0" applyFont="1" applyBorder="1"/>
    <xf numFmtId="0" fontId="5" fillId="0" borderId="4" xfId="0" applyFont="1" applyBorder="1"/>
    <xf numFmtId="0" fontId="3" fillId="0" borderId="8" xfId="0" applyFont="1" applyBorder="1"/>
    <xf numFmtId="0" fontId="4" fillId="0" borderId="13" xfId="0" applyFont="1" applyBorder="1" applyAlignment="1">
      <alignment horizontal="center"/>
    </xf>
    <xf numFmtId="0" fontId="3" fillId="0" borderId="0" xfId="0" applyFont="1"/>
    <xf numFmtId="0" fontId="3" fillId="0" borderId="2" xfId="0" applyFont="1" applyBorder="1"/>
    <xf numFmtId="0" fontId="3" fillId="0" borderId="14" xfId="0" applyFont="1" applyBorder="1"/>
    <xf numFmtId="0" fontId="4" fillId="0" borderId="16" xfId="0" applyFont="1" applyBorder="1"/>
    <xf numFmtId="0" fontId="3" fillId="0" borderId="16" xfId="0" applyFont="1" applyBorder="1"/>
    <xf numFmtId="0" fontId="4" fillId="0" borderId="1" xfId="0" applyFont="1" applyBorder="1"/>
    <xf numFmtId="0" fontId="4" fillId="0" borderId="0" xfId="0" applyFont="1"/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10" fontId="3" fillId="0" borderId="0" xfId="0" applyNumberFormat="1" applyFont="1"/>
    <xf numFmtId="0" fontId="3" fillId="3" borderId="10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1" xfId="0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164" fontId="4" fillId="0" borderId="3" xfId="0" applyNumberFormat="1" applyFont="1" applyBorder="1"/>
    <xf numFmtId="0" fontId="4" fillId="3" borderId="3" xfId="0" applyFont="1" applyFill="1" applyBorder="1" applyAlignment="1">
      <alignment horizontal="center"/>
    </xf>
    <xf numFmtId="10" fontId="4" fillId="0" borderId="0" xfId="0" applyNumberFormat="1" applyFont="1"/>
    <xf numFmtId="0" fontId="4" fillId="0" borderId="4" xfId="0" applyFont="1" applyBorder="1"/>
    <xf numFmtId="164" fontId="4" fillId="0" borderId="5" xfId="0" applyNumberFormat="1" applyFont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164" fontId="4" fillId="0" borderId="7" xfId="0" applyNumberFormat="1" applyFont="1" applyBorder="1"/>
    <xf numFmtId="0" fontId="4" fillId="2" borderId="4" xfId="0" applyFont="1" applyFill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164" fontId="4" fillId="4" borderId="4" xfId="0" applyNumberFormat="1" applyFont="1" applyFill="1" applyBorder="1"/>
    <xf numFmtId="164" fontId="4" fillId="0" borderId="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0" fontId="3" fillId="0" borderId="11" xfId="0" applyNumberFormat="1" applyFont="1" applyBorder="1"/>
    <xf numFmtId="10" fontId="4" fillId="0" borderId="13" xfId="0" applyNumberFormat="1" applyFont="1" applyBorder="1"/>
    <xf numFmtId="165" fontId="4" fillId="2" borderId="5" xfId="0" applyNumberFormat="1" applyFont="1" applyFill="1" applyBorder="1" applyAlignment="1">
      <alignment horizontal="center"/>
    </xf>
    <xf numFmtId="165" fontId="4" fillId="2" borderId="13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0" borderId="17" xfId="0" applyFont="1" applyBorder="1"/>
    <xf numFmtId="0" fontId="6" fillId="0" borderId="18" xfId="0" applyFont="1" applyBorder="1"/>
    <xf numFmtId="0" fontId="6" fillId="2" borderId="15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166" fontId="4" fillId="2" borderId="4" xfId="0" applyNumberFormat="1" applyFont="1" applyFill="1" applyBorder="1" applyAlignment="1">
      <alignment horizontal="center"/>
    </xf>
    <xf numFmtId="166" fontId="4" fillId="4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opLeftCell="B1" zoomScale="179" zoomScaleNormal="130" workbookViewId="0">
      <selection activeCell="C4" sqref="C4"/>
    </sheetView>
  </sheetViews>
  <sheetFormatPr baseColWidth="10" defaultColWidth="8.83203125" defaultRowHeight="15" x14ac:dyDescent="0.2"/>
  <cols>
    <col min="2" max="2" width="17.5" customWidth="1"/>
  </cols>
  <sheetData>
    <row r="1" spans="1:9" ht="17" thickBot="1" x14ac:dyDescent="0.25">
      <c r="A1" s="45"/>
      <c r="B1" s="45"/>
      <c r="C1" s="45" t="s">
        <v>4</v>
      </c>
      <c r="D1" s="45"/>
      <c r="E1" s="45"/>
      <c r="F1" s="45"/>
      <c r="G1" s="45"/>
      <c r="H1" s="45"/>
      <c r="I1" s="45"/>
    </row>
    <row r="2" spans="1:9" ht="17" thickBot="1" x14ac:dyDescent="0.25">
      <c r="A2" s="46"/>
      <c r="B2" s="47" t="s">
        <v>0</v>
      </c>
      <c r="C2" s="47">
        <v>0</v>
      </c>
      <c r="D2" s="47">
        <v>1</v>
      </c>
      <c r="E2" s="47">
        <v>2</v>
      </c>
      <c r="F2" s="47">
        <v>3</v>
      </c>
      <c r="G2" s="47">
        <v>4</v>
      </c>
      <c r="H2" s="47">
        <v>5</v>
      </c>
      <c r="I2" s="48">
        <v>6</v>
      </c>
    </row>
    <row r="3" spans="1:9" ht="16" x14ac:dyDescent="0.2">
      <c r="A3" s="32" t="s">
        <v>1</v>
      </c>
      <c r="B3" s="32" t="s">
        <v>6</v>
      </c>
      <c r="C3" s="44">
        <v>-10</v>
      </c>
      <c r="D3" s="44">
        <v>3</v>
      </c>
      <c r="E3" s="44">
        <v>3</v>
      </c>
      <c r="F3" s="44">
        <v>3</v>
      </c>
      <c r="G3" s="44">
        <v>3</v>
      </c>
      <c r="H3" s="44">
        <v>3</v>
      </c>
      <c r="I3" s="44">
        <v>3</v>
      </c>
    </row>
    <row r="4" spans="1:9" ht="16" x14ac:dyDescent="0.2">
      <c r="A4" s="26"/>
      <c r="B4" s="26"/>
      <c r="C4" s="25"/>
      <c r="D4" s="25"/>
      <c r="E4" s="25"/>
      <c r="F4" s="25"/>
      <c r="G4" s="25"/>
      <c r="H4" s="25"/>
      <c r="I4" s="25"/>
    </row>
    <row r="5" spans="1:9" ht="16" x14ac:dyDescent="0.2">
      <c r="A5" s="26" t="s">
        <v>2</v>
      </c>
      <c r="B5" s="26" t="s">
        <v>6</v>
      </c>
      <c r="C5" s="28">
        <v>-5</v>
      </c>
      <c r="D5" s="28">
        <v>4</v>
      </c>
      <c r="E5" s="28">
        <v>3</v>
      </c>
      <c r="F5" s="28">
        <v>3</v>
      </c>
      <c r="G5" s="28">
        <v>3</v>
      </c>
      <c r="H5" s="25"/>
      <c r="I5" s="25"/>
    </row>
    <row r="6" spans="1:9" ht="16" x14ac:dyDescent="0.2">
      <c r="A6" s="26"/>
      <c r="B6" s="26"/>
      <c r="C6" s="25"/>
      <c r="D6" s="25"/>
      <c r="E6" s="25"/>
      <c r="F6" s="25"/>
      <c r="G6" s="25"/>
      <c r="H6" s="25"/>
      <c r="I6" s="25"/>
    </row>
    <row r="7" spans="1:9" ht="16" x14ac:dyDescent="0.2">
      <c r="A7" s="26" t="s">
        <v>3</v>
      </c>
      <c r="B7" s="26" t="s">
        <v>6</v>
      </c>
      <c r="C7" s="28">
        <v>-20</v>
      </c>
      <c r="D7" s="28">
        <v>2</v>
      </c>
      <c r="E7" s="28">
        <v>7</v>
      </c>
      <c r="F7" s="28">
        <v>5</v>
      </c>
      <c r="G7" s="28">
        <v>5</v>
      </c>
      <c r="H7" s="28">
        <v>6</v>
      </c>
      <c r="I7" s="25"/>
    </row>
    <row r="8" spans="1:9" ht="16" x14ac:dyDescent="0.2">
      <c r="A8" s="14"/>
      <c r="B8" s="14"/>
      <c r="C8" s="14"/>
      <c r="D8" s="14"/>
      <c r="E8" s="14"/>
      <c r="F8" s="14"/>
      <c r="G8" s="14"/>
      <c r="H8" s="14"/>
      <c r="I8" s="14"/>
    </row>
    <row r="9" spans="1:9" ht="16" x14ac:dyDescent="0.2">
      <c r="A9" s="14" t="s">
        <v>5</v>
      </c>
      <c r="B9" s="29">
        <v>0.04</v>
      </c>
      <c r="C9" s="14"/>
      <c r="D9" s="14"/>
      <c r="E9" s="14"/>
      <c r="F9" s="14"/>
      <c r="G9" s="14"/>
      <c r="H9" s="14"/>
      <c r="I9" s="1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zoomScale="253" zoomScaleNormal="115" workbookViewId="0">
      <selection activeCell="B13" sqref="B13"/>
    </sheetView>
  </sheetViews>
  <sheetFormatPr baseColWidth="10" defaultColWidth="8.83203125" defaultRowHeight="15" x14ac:dyDescent="0.2"/>
  <cols>
    <col min="1" max="1" width="11.83203125" customWidth="1"/>
    <col min="2" max="2" width="14" customWidth="1"/>
    <col min="3" max="3" width="10.1640625" customWidth="1"/>
  </cols>
  <sheetData>
    <row r="1" spans="1:11" ht="16" x14ac:dyDescent="0.2">
      <c r="A1" s="26"/>
      <c r="B1" s="26"/>
      <c r="C1" s="26" t="s">
        <v>4</v>
      </c>
      <c r="D1" s="26"/>
      <c r="E1" s="26"/>
      <c r="F1" s="26"/>
      <c r="G1" s="26"/>
      <c r="H1" s="26"/>
      <c r="I1" s="26"/>
      <c r="J1" s="25" t="s">
        <v>7</v>
      </c>
      <c r="K1" s="8"/>
    </row>
    <row r="2" spans="1:11" ht="16" x14ac:dyDescent="0.2">
      <c r="A2" s="26"/>
      <c r="B2" s="25" t="s">
        <v>0</v>
      </c>
      <c r="C2" s="25">
        <v>0</v>
      </c>
      <c r="D2" s="25">
        <v>1</v>
      </c>
      <c r="E2" s="25">
        <v>2</v>
      </c>
      <c r="F2" s="25">
        <v>3</v>
      </c>
      <c r="G2" s="25">
        <v>4</v>
      </c>
      <c r="H2" s="25">
        <v>5</v>
      </c>
      <c r="I2" s="25">
        <v>6</v>
      </c>
      <c r="J2" s="26"/>
      <c r="K2" s="8"/>
    </row>
    <row r="3" spans="1:11" ht="16" x14ac:dyDescent="0.2">
      <c r="A3" s="26" t="s">
        <v>1</v>
      </c>
      <c r="B3" s="26" t="s">
        <v>6</v>
      </c>
      <c r="C3" s="28">
        <v>-10</v>
      </c>
      <c r="D3" s="28">
        <v>3</v>
      </c>
      <c r="E3" s="28">
        <v>3</v>
      </c>
      <c r="F3" s="28">
        <v>3</v>
      </c>
      <c r="G3" s="28">
        <v>3</v>
      </c>
      <c r="H3" s="28">
        <v>3</v>
      </c>
      <c r="I3" s="28">
        <v>3</v>
      </c>
      <c r="J3" s="26"/>
      <c r="K3" s="8"/>
    </row>
    <row r="4" spans="1:11" ht="17" thickBot="1" x14ac:dyDescent="0.25">
      <c r="A4" s="30"/>
      <c r="B4" s="30" t="s">
        <v>8</v>
      </c>
      <c r="C4" s="49">
        <f t="shared" ref="C4:I4" si="0">C3/(1+$B$12)^C2</f>
        <v>-10</v>
      </c>
      <c r="D4" s="49">
        <f t="shared" si="0"/>
        <v>2.8846153846153846</v>
      </c>
      <c r="E4" s="49">
        <f t="shared" si="0"/>
        <v>2.7736686390532541</v>
      </c>
      <c r="F4" s="49">
        <f t="shared" si="0"/>
        <v>2.6669890760127446</v>
      </c>
      <c r="G4" s="49">
        <f t="shared" si="0"/>
        <v>2.5644125730891769</v>
      </c>
      <c r="H4" s="49">
        <f t="shared" si="0"/>
        <v>2.4657813202780545</v>
      </c>
      <c r="I4" s="49">
        <f t="shared" si="0"/>
        <v>2.3709435771904372</v>
      </c>
      <c r="J4" s="50">
        <f>SUM(C4:I4)</f>
        <v>5.726410570239052</v>
      </c>
      <c r="K4" s="8"/>
    </row>
    <row r="5" spans="1:11" ht="16" x14ac:dyDescent="0.2">
      <c r="A5" s="32"/>
      <c r="B5" s="32"/>
      <c r="C5" s="33"/>
      <c r="D5" s="33"/>
      <c r="E5" s="33"/>
      <c r="F5" s="33"/>
      <c r="G5" s="33"/>
      <c r="H5" s="33"/>
      <c r="I5" s="33"/>
      <c r="J5" s="34"/>
      <c r="K5" s="8"/>
    </row>
    <row r="6" spans="1:11" ht="16" x14ac:dyDescent="0.2">
      <c r="A6" s="26" t="s">
        <v>2</v>
      </c>
      <c r="B6" s="26" t="s">
        <v>6</v>
      </c>
      <c r="C6" s="28">
        <v>-5</v>
      </c>
      <c r="D6" s="28">
        <v>4</v>
      </c>
      <c r="E6" s="28">
        <v>3</v>
      </c>
      <c r="F6" s="28">
        <v>3</v>
      </c>
      <c r="G6" s="28">
        <v>3</v>
      </c>
      <c r="H6" s="25"/>
      <c r="I6" s="25"/>
      <c r="J6" s="27"/>
      <c r="K6" s="8"/>
    </row>
    <row r="7" spans="1:11" ht="17" thickBot="1" x14ac:dyDescent="0.25">
      <c r="A7" s="30"/>
      <c r="B7" s="30" t="s">
        <v>9</v>
      </c>
      <c r="C7" s="35">
        <f>C6/(1+$B$12)^C2</f>
        <v>-5</v>
      </c>
      <c r="D7" s="36">
        <f>D6/(1+$B$12)^D2</f>
        <v>3.8461538461538458</v>
      </c>
      <c r="E7" s="36">
        <f>E6/(1+$B$12)^E2</f>
        <v>2.7736686390532541</v>
      </c>
      <c r="F7" s="36">
        <f>F6/(1+$B$12)^F2</f>
        <v>2.6669890760127446</v>
      </c>
      <c r="G7" s="36">
        <f>G6/(1+$B$12)^G2</f>
        <v>2.5644125730891769</v>
      </c>
      <c r="H7" s="38"/>
      <c r="I7" s="38"/>
      <c r="J7" s="37">
        <f>SUM(C7:I7)</f>
        <v>6.851224134309021</v>
      </c>
      <c r="K7" s="8"/>
    </row>
    <row r="8" spans="1:11" ht="16" x14ac:dyDescent="0.2">
      <c r="A8" s="32"/>
      <c r="B8" s="32"/>
      <c r="C8" s="33"/>
      <c r="D8" s="33"/>
      <c r="E8" s="33"/>
      <c r="F8" s="33"/>
      <c r="G8" s="33"/>
      <c r="H8" s="33"/>
      <c r="I8" s="33"/>
      <c r="J8" s="34"/>
      <c r="K8" s="8"/>
    </row>
    <row r="9" spans="1:11" ht="16" x14ac:dyDescent="0.2">
      <c r="A9" s="26" t="s">
        <v>3</v>
      </c>
      <c r="B9" s="26" t="s">
        <v>6</v>
      </c>
      <c r="C9" s="28">
        <v>-20</v>
      </c>
      <c r="D9" s="28">
        <v>2</v>
      </c>
      <c r="E9" s="28">
        <v>7</v>
      </c>
      <c r="F9" s="28">
        <v>5</v>
      </c>
      <c r="G9" s="28">
        <v>5</v>
      </c>
      <c r="H9" s="28">
        <v>6</v>
      </c>
      <c r="I9" s="25"/>
      <c r="J9" s="27"/>
      <c r="K9" s="8"/>
    </row>
    <row r="10" spans="1:11" ht="17" thickBot="1" x14ac:dyDescent="0.25">
      <c r="A10" s="30"/>
      <c r="B10" s="30" t="s">
        <v>9</v>
      </c>
      <c r="C10" s="35">
        <f t="shared" ref="C10:H10" si="1">C9/(1+$B$12)^C2</f>
        <v>-20</v>
      </c>
      <c r="D10" s="36">
        <f t="shared" si="1"/>
        <v>1.9230769230769229</v>
      </c>
      <c r="E10" s="36">
        <f t="shared" si="1"/>
        <v>6.47189349112426</v>
      </c>
      <c r="F10" s="36">
        <f t="shared" si="1"/>
        <v>4.4449817933545743</v>
      </c>
      <c r="G10" s="36">
        <f t="shared" si="1"/>
        <v>4.2740209551486288</v>
      </c>
      <c r="H10" s="35">
        <f t="shared" si="1"/>
        <v>4.931562640556109</v>
      </c>
      <c r="I10" s="38"/>
      <c r="J10" s="37">
        <f>SUM(C10:I10)</f>
        <v>2.0455358032604947</v>
      </c>
      <c r="K10" s="8"/>
    </row>
    <row r="11" spans="1:11" ht="16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16" x14ac:dyDescent="0.2">
      <c r="A12" s="8" t="s">
        <v>5</v>
      </c>
      <c r="B12" s="18">
        <v>0.04</v>
      </c>
      <c r="C12" s="8"/>
      <c r="D12" s="8"/>
      <c r="E12" s="8"/>
      <c r="F12" s="8"/>
      <c r="G12" s="8"/>
      <c r="H12" s="8"/>
      <c r="I12" s="8"/>
      <c r="J12" s="8"/>
      <c r="K12" s="8"/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tabSelected="1" zoomScale="213" zoomScaleNormal="130" workbookViewId="0">
      <selection activeCell="K5" sqref="K5"/>
    </sheetView>
  </sheetViews>
  <sheetFormatPr baseColWidth="10" defaultColWidth="8.83203125" defaultRowHeight="15" x14ac:dyDescent="0.2"/>
  <cols>
    <col min="1" max="1" width="6.5" customWidth="1"/>
    <col min="2" max="2" width="14.5" customWidth="1"/>
    <col min="3" max="3" width="9.83203125" bestFit="1" customWidth="1"/>
    <col min="4" max="8" width="9.1640625" bestFit="1" customWidth="1"/>
    <col min="9" max="9" width="8.1640625" customWidth="1"/>
    <col min="10" max="10" width="9.1640625" bestFit="1" customWidth="1"/>
    <col min="11" max="11" width="10.83203125" customWidth="1"/>
  </cols>
  <sheetData>
    <row r="1" spans="1:11" ht="17" thickBot="1" x14ac:dyDescent="0.25">
      <c r="A1" s="4"/>
      <c r="B1" s="4"/>
      <c r="C1" s="5" t="s">
        <v>4</v>
      </c>
      <c r="D1" s="4"/>
      <c r="E1" s="4"/>
      <c r="F1" s="4"/>
      <c r="G1" s="4"/>
      <c r="H1" s="4"/>
      <c r="I1" s="6"/>
      <c r="J1" s="13" t="s">
        <v>11</v>
      </c>
      <c r="K1" s="7" t="s">
        <v>10</v>
      </c>
    </row>
    <row r="2" spans="1:11" ht="17" thickBot="1" x14ac:dyDescent="0.25">
      <c r="A2" s="9"/>
      <c r="B2" s="1" t="s">
        <v>0</v>
      </c>
      <c r="C2" s="2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3">
        <v>6</v>
      </c>
      <c r="J2" s="1"/>
      <c r="K2" s="10"/>
    </row>
    <row r="3" spans="1:11" ht="16" x14ac:dyDescent="0.2">
      <c r="A3" s="11" t="s">
        <v>1</v>
      </c>
      <c r="B3" s="12" t="s">
        <v>6</v>
      </c>
      <c r="C3" s="19">
        <v>-10</v>
      </c>
      <c r="D3" s="20">
        <v>3</v>
      </c>
      <c r="E3" s="20">
        <v>3</v>
      </c>
      <c r="F3" s="20">
        <v>3</v>
      </c>
      <c r="G3" s="20">
        <v>3</v>
      </c>
      <c r="H3" s="20">
        <v>3</v>
      </c>
      <c r="I3" s="21">
        <v>3</v>
      </c>
      <c r="J3" s="20"/>
      <c r="K3" s="40"/>
    </row>
    <row r="4" spans="1:11" ht="17" thickBot="1" x14ac:dyDescent="0.25">
      <c r="A4" s="13"/>
      <c r="B4" s="4" t="s">
        <v>8</v>
      </c>
      <c r="C4" s="42">
        <f>C3/(1+$K$4)^C2</f>
        <v>-10</v>
      </c>
      <c r="D4" s="42">
        <f t="shared" ref="D4:I4" si="0">D3/(1+$K$4)^D2</f>
        <v>2.5019755837711344</v>
      </c>
      <c r="E4" s="42">
        <f t="shared" si="0"/>
        <v>2.0866272739289697</v>
      </c>
      <c r="F4" s="42">
        <f t="shared" si="0"/>
        <v>1.740230163933735</v>
      </c>
      <c r="G4" s="42">
        <f t="shared" si="0"/>
        <v>1.4513377934347478</v>
      </c>
      <c r="H4" s="42">
        <f t="shared" si="0"/>
        <v>1.2104039076593378</v>
      </c>
      <c r="I4" s="42">
        <f t="shared" si="0"/>
        <v>1.0094670078216113</v>
      </c>
      <c r="J4" s="43">
        <f>SUM(C4:I4)</f>
        <v>4.1730549536378447E-5</v>
      </c>
      <c r="K4" s="41">
        <v>0.19905246856094902</v>
      </c>
    </row>
    <row r="5" spans="1:11" ht="17" thickBot="1" x14ac:dyDescent="0.25">
      <c r="A5" s="14"/>
      <c r="B5" s="8"/>
      <c r="C5" s="15"/>
      <c r="D5" s="16"/>
      <c r="E5" s="16"/>
      <c r="F5" s="16"/>
      <c r="G5" s="16"/>
      <c r="H5" s="16"/>
      <c r="I5" s="17"/>
      <c r="J5" s="7"/>
      <c r="K5" s="41" t="s">
        <v>12</v>
      </c>
    </row>
    <row r="6" spans="1:11" ht="17" thickBot="1" x14ac:dyDescent="0.25">
      <c r="A6" s="14" t="s">
        <v>2</v>
      </c>
      <c r="B6" s="8" t="s">
        <v>6</v>
      </c>
      <c r="C6" s="22">
        <v>-5</v>
      </c>
      <c r="D6" s="23">
        <v>4</v>
      </c>
      <c r="E6" s="23">
        <v>3</v>
      </c>
      <c r="F6" s="23">
        <v>3</v>
      </c>
      <c r="G6" s="23">
        <v>3</v>
      </c>
      <c r="H6" s="16"/>
      <c r="I6" s="17"/>
      <c r="J6" s="7"/>
      <c r="K6" s="41"/>
    </row>
    <row r="7" spans="1:11" ht="17" thickBot="1" x14ac:dyDescent="0.25">
      <c r="A7" s="13"/>
      <c r="B7" s="24" t="s">
        <v>9</v>
      </c>
      <c r="C7" s="42">
        <f>C6/(1+$K$7)^C2</f>
        <v>-5</v>
      </c>
      <c r="D7" s="42">
        <f>D6/(1+$K$7)^D2</f>
        <v>2.5384709704590609</v>
      </c>
      <c r="E7" s="42">
        <f>E6/(1+$K$7)^E2</f>
        <v>1.2082190377243811</v>
      </c>
      <c r="F7" s="42">
        <f>F6/(1+$K$7)^F2</f>
        <v>0.76675723830483067</v>
      </c>
      <c r="G7" s="42">
        <f>G6/(1+$K$7)^G2</f>
        <v>0.48659774770654324</v>
      </c>
      <c r="H7" s="31"/>
      <c r="I7" s="31"/>
      <c r="J7" s="43">
        <f>SUM(C7:I7)</f>
        <v>4.4994194815906052E-5</v>
      </c>
      <c r="K7" s="41">
        <v>0.57575172083871984</v>
      </c>
    </row>
    <row r="8" spans="1:11" ht="17" thickBot="1" x14ac:dyDescent="0.25">
      <c r="A8" s="14"/>
      <c r="B8" s="8"/>
      <c r="C8" s="15"/>
      <c r="D8" s="16"/>
      <c r="E8" s="16"/>
      <c r="F8" s="16"/>
      <c r="G8" s="16"/>
      <c r="H8" s="16"/>
      <c r="I8" s="17"/>
      <c r="J8" s="39"/>
      <c r="K8" s="41"/>
    </row>
    <row r="9" spans="1:11" ht="17" thickBot="1" x14ac:dyDescent="0.25">
      <c r="A9" s="14" t="s">
        <v>3</v>
      </c>
      <c r="B9" s="8" t="s">
        <v>6</v>
      </c>
      <c r="C9" s="23">
        <v>-20</v>
      </c>
      <c r="D9" s="23">
        <v>2</v>
      </c>
      <c r="E9" s="23">
        <v>7</v>
      </c>
      <c r="F9" s="23">
        <v>5</v>
      </c>
      <c r="G9" s="23">
        <v>5</v>
      </c>
      <c r="H9" s="23">
        <v>6</v>
      </c>
      <c r="I9" s="16"/>
      <c r="J9" s="7"/>
      <c r="K9" s="41"/>
    </row>
    <row r="10" spans="1:11" ht="17" thickBot="1" x14ac:dyDescent="0.25">
      <c r="A10" s="13"/>
      <c r="B10" s="24" t="s">
        <v>9</v>
      </c>
      <c r="C10" s="42">
        <f t="shared" ref="C10:H10" si="1">C9/(1+$K$10)^C2</f>
        <v>-20</v>
      </c>
      <c r="D10" s="42">
        <f t="shared" si="1"/>
        <v>1.9607843137254901</v>
      </c>
      <c r="E10" s="42">
        <f t="shared" si="1"/>
        <v>6.7281814686658974</v>
      </c>
      <c r="F10" s="42">
        <f t="shared" si="1"/>
        <v>4.7116116727352226</v>
      </c>
      <c r="G10" s="42">
        <f t="shared" si="1"/>
        <v>4.6192271301325709</v>
      </c>
      <c r="H10" s="42">
        <f t="shared" si="1"/>
        <v>5.4343848589794952</v>
      </c>
      <c r="I10" s="31"/>
      <c r="J10" s="43">
        <f>SUM(C10:I10)</f>
        <v>3.4541894442386774</v>
      </c>
      <c r="K10" s="41">
        <v>0.02</v>
      </c>
    </row>
    <row r="11" spans="1:11" ht="16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16" x14ac:dyDescent="0.2">
      <c r="A12" s="8" t="s">
        <v>5</v>
      </c>
      <c r="B12" s="18">
        <v>0.08</v>
      </c>
      <c r="C12" s="8"/>
      <c r="D12" s="8"/>
      <c r="E12" s="8"/>
      <c r="F12" s="8"/>
      <c r="G12" s="8"/>
      <c r="H12" s="8"/>
      <c r="I12" s="8"/>
      <c r="J12" s="8"/>
      <c r="K12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现值比较</vt:lpstr>
      <vt:lpstr>内部收益率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2026-03-11T06:51:58Z</dcterms:modified>
</cp:coreProperties>
</file>