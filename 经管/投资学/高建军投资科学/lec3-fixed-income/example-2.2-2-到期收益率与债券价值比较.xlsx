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45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<sst xmlns="http://schemas.openxmlformats.org/spreadsheetml/2006/main" count="21" uniqueCount="15">
  <si>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时间</t>
  </si>
  <si>
    <t>现金流</t>
  </si>
  <si>
    <t>现值</t>
  </si>
  <si>
    <t>债券价值=</t>
  </si>
  <si>
    <t>A=</t>
  </si>
  <si>
    <t>m=</t>
  </si>
  <si>
    <t>y or lambda=</t>
  </si>
  <si>
    <t>c=</t>
  </si>
  <si>
    <t>P=</t>
  </si>
  <si>
    <t>当前市场价格</t>
  </si>
  <si>
    <t>Pv=</t>
  </si>
  <si>
    <t>使用PV函数计算</t>
  </si>
  <si>
    <t>·</t>
  </si>
  <si>
    <t>周期</t>
  </si>
  <si>
    <t>y=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</si>
</sst>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#,##0.00_ ;[Red]\-#,##0.00\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78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78" fontId="0" fillId="2" borderId="0" xfId="0" applyNumberFormat="1" applyFill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5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wrapText="1"/>
    </xf>
    <xf numFmtId="58" fontId="1" fillId="0" borderId="3" xfId="0" applyNumberFormat="1" applyFont="1" applyBorder="1" applyAlignment="1">
      <alignment horizontal="center" wrapText="1"/>
    </xf>
    <xf numFmtId="0" fontId="1" fillId="6" borderId="2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6" borderId="4" xfId="0" applyFont="1" applyFill="1" applyBorder="1" applyAlignment="1">
      <alignment wrapText="1"/>
    </xf>
    <xf numFmtId="178" fontId="1" fillId="0" borderId="4" xfId="0" applyNumberFormat="1" applyFont="1" applyBorder="1" applyAlignment="1">
      <alignment horizontal="center" wrapText="1"/>
    </xf>
    <xf numFmtId="0" fontId="1" fillId="6" borderId="0" xfId="0" applyFont="1" applyFill="1" applyAlignment="1">
      <alignment wrapText="1"/>
    </xf>
    <xf numFmtId="178" fontId="3" fillId="2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7" borderId="1" xfId="0" applyFont="1" applyFill="1" applyBorder="1"/>
    <xf numFmtId="0" fontId="1" fillId="3" borderId="0" xfId="0" applyFont="1" applyFill="1" applyBorder="1" applyAlignment="1">
      <alignment wrapText="1"/>
    </xf>
    <xf numFmtId="179" fontId="3" fillId="0" borderId="0" xfId="0" applyNumberFormat="1" applyFont="1"/>
    <xf numFmtId="0" fontId="1" fillId="8" borderId="0" xfId="0" applyFont="1" applyFill="1" applyBorder="1" applyAlignment="1">
      <alignment wrapText="1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222" zoomScaleNormal="222" zoomScalePageLayoutView="130" workbookViewId="0">
      <selection activeCell="B10" sqref="B10"/>
    </sheetView>
  </sheetViews>
  <sheetFormatPr defaultColWidth="8.8359375" defaultRowHeight="16.8"/>
  <cols>
    <col min="1" max="1" width="14.3359375" customWidth="1"/>
    <col min="2" max="2" width="11.5" customWidth="1"/>
    <col min="3" max="3" width="13.6640625" customWidth="1"/>
    <col min="4" max="4" width="10.8359375" customWidth="1"/>
    <col min="5" max="5" width="11.8359375" customWidth="1"/>
    <col min="6" max="6" width="12.1640625" customWidth="1"/>
    <col min="7" max="7" width="15.1640625" customWidth="1"/>
  </cols>
  <sheetData>
    <row r="1" ht="23.25" customHeight="1" spans="1:7">
      <c r="A1" s="9"/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</row>
    <row r="2" ht="30.75" customHeight="1" spans="1:9">
      <c r="A2" s="10" t="s">
        <v>0</v>
      </c>
      <c r="B2" s="11">
        <v>43282</v>
      </c>
      <c r="C2" s="11">
        <v>43466</v>
      </c>
      <c r="D2" s="11">
        <v>43647</v>
      </c>
      <c r="E2" s="11">
        <v>43831</v>
      </c>
      <c r="F2" s="11">
        <v>44013</v>
      </c>
      <c r="G2" s="11">
        <v>44197</v>
      </c>
      <c r="H2" s="4"/>
      <c r="I2" s="4"/>
    </row>
    <row r="3" ht="25.5" customHeight="1" spans="1:9">
      <c r="A3" s="12" t="s">
        <v>1</v>
      </c>
      <c r="B3" s="13">
        <f t="shared" ref="B3:F3" si="0">$B$7*$B$10/$B$8</f>
        <v>30</v>
      </c>
      <c r="C3" s="13">
        <f t="shared" si="0"/>
        <v>30</v>
      </c>
      <c r="D3" s="13">
        <f t="shared" si="0"/>
        <v>30</v>
      </c>
      <c r="E3" s="13">
        <f t="shared" si="0"/>
        <v>30</v>
      </c>
      <c r="F3" s="13">
        <f t="shared" si="0"/>
        <v>30</v>
      </c>
      <c r="G3" s="13">
        <f>($B$7*$B$10)/$B$8++$B$7</f>
        <v>1030</v>
      </c>
      <c r="H3" s="4"/>
      <c r="I3" s="4"/>
    </row>
    <row r="4" ht="35.25" customHeight="1" spans="1:9">
      <c r="A4" s="14" t="s">
        <v>2</v>
      </c>
      <c r="B4" s="15">
        <f>B3/(1+$B$9/$B$8)^B1</f>
        <v>27.906976744186</v>
      </c>
      <c r="C4" s="15">
        <f t="shared" ref="C4:G4" si="1">C3/(1+$B$9/$B$8)^C1</f>
        <v>25.9599783666847</v>
      </c>
      <c r="D4" s="15">
        <f t="shared" si="1"/>
        <v>24.1488170852881</v>
      </c>
      <c r="E4" s="15">
        <f t="shared" si="1"/>
        <v>22.4640158932912</v>
      </c>
      <c r="F4" s="15">
        <f t="shared" si="1"/>
        <v>20.8967589705035</v>
      </c>
      <c r="G4" s="15">
        <f t="shared" si="1"/>
        <v>667.400364019181</v>
      </c>
      <c r="H4" s="4"/>
      <c r="I4" s="4"/>
    </row>
    <row r="5" ht="24.75" customHeight="1" spans="1:9">
      <c r="A5" s="16" t="s">
        <v>3</v>
      </c>
      <c r="B5" s="17">
        <f>SUM(B4:G4)</f>
        <v>788.776911079135</v>
      </c>
      <c r="C5" s="4"/>
      <c r="D5" s="4"/>
      <c r="E5" s="4"/>
      <c r="F5" s="4"/>
      <c r="G5" s="4"/>
      <c r="H5" s="4"/>
      <c r="I5" s="4"/>
    </row>
    <row r="6" ht="24.75" customHeight="1" spans="1:9">
      <c r="A6" s="4"/>
      <c r="B6" s="18">
        <v>1134</v>
      </c>
      <c r="C6" s="4"/>
      <c r="D6" s="4"/>
      <c r="E6" s="4"/>
      <c r="F6" s="4"/>
      <c r="G6" s="4"/>
      <c r="H6" s="4"/>
      <c r="I6" s="4"/>
    </row>
    <row r="7" ht="17" spans="1:9">
      <c r="A7" s="19" t="s">
        <v>4</v>
      </c>
      <c r="B7" s="19">
        <v>1000</v>
      </c>
      <c r="C7" s="4"/>
      <c r="D7" s="4"/>
      <c r="E7" s="4"/>
      <c r="F7" s="4"/>
      <c r="G7" s="4"/>
      <c r="H7" s="4"/>
      <c r="I7" s="4"/>
    </row>
    <row r="8" ht="17" spans="1:9">
      <c r="A8" s="19" t="s">
        <v>5</v>
      </c>
      <c r="B8" s="19">
        <v>2</v>
      </c>
      <c r="C8" s="4"/>
      <c r="D8" s="4"/>
      <c r="E8" s="4"/>
      <c r="F8" s="4"/>
      <c r="G8" s="4"/>
      <c r="H8" s="4"/>
      <c r="I8" s="4"/>
    </row>
    <row r="9" spans="1:2">
      <c r="A9" s="20" t="s">
        <v>6</v>
      </c>
      <c r="B9" s="21">
        <v>0.15</v>
      </c>
    </row>
    <row r="10" ht="17" spans="1:2">
      <c r="A10" s="19" t="s">
        <v>7</v>
      </c>
      <c r="B10" s="20">
        <v>0.06</v>
      </c>
    </row>
    <row r="11" ht="17" spans="1:3">
      <c r="A11" s="22" t="s">
        <v>8</v>
      </c>
      <c r="B11">
        <v>900</v>
      </c>
      <c r="C11" t="s">
        <v>9</v>
      </c>
    </row>
    <row r="12" ht="17" spans="1:3">
      <c r="A12" s="22" t="s">
        <v>10</v>
      </c>
      <c r="B12" s="23">
        <f>-1*PV(B9/B8,G1,B10*B7/B8,B7,0)</f>
        <v>788.776911079135</v>
      </c>
      <c r="C12" t="s">
        <v>11</v>
      </c>
    </row>
    <row r="13" spans="1:2">
      <c r="A13" s="24"/>
      <c r="B13" s="25"/>
    </row>
    <row r="18" spans="7:7">
      <c r="G18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opLeftCell="A16" workbookViewId="0">
      <selection activeCell="B5" sqref="B5"/>
    </sheetView>
  </sheetViews>
  <sheetFormatPr defaultColWidth="8.8359375" defaultRowHeight="16.8"/>
  <sheetData>
    <row r="1" spans="1:15">
      <c r="A1" s="1" t="s">
        <v>13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</row>
    <row r="2" ht="17" spans="1:15">
      <c r="A2" s="2" t="s">
        <v>1</v>
      </c>
      <c r="B2" s="2">
        <f t="shared" ref="B2:N2" si="0">$B$6*$B$9/$B$7</f>
        <v>50</v>
      </c>
      <c r="C2" s="2">
        <f t="shared" si="0"/>
        <v>50</v>
      </c>
      <c r="D2" s="2">
        <f t="shared" si="0"/>
        <v>50</v>
      </c>
      <c r="E2" s="2">
        <f t="shared" si="0"/>
        <v>50</v>
      </c>
      <c r="F2" s="2">
        <f t="shared" si="0"/>
        <v>50</v>
      </c>
      <c r="G2" s="2">
        <f t="shared" si="0"/>
        <v>50</v>
      </c>
      <c r="H2" s="2">
        <f t="shared" si="0"/>
        <v>50</v>
      </c>
      <c r="I2" s="2">
        <f t="shared" si="0"/>
        <v>50</v>
      </c>
      <c r="J2" s="2">
        <f t="shared" si="0"/>
        <v>50</v>
      </c>
      <c r="K2" s="2">
        <f t="shared" si="0"/>
        <v>50</v>
      </c>
      <c r="L2" s="2">
        <f t="shared" si="0"/>
        <v>50</v>
      </c>
      <c r="M2" s="2">
        <f t="shared" si="0"/>
        <v>50</v>
      </c>
      <c r="N2" s="2">
        <f t="shared" si="0"/>
        <v>50</v>
      </c>
      <c r="O2" s="2">
        <f>$B$6*$B$9/$B$7+B6</f>
        <v>1050</v>
      </c>
    </row>
    <row r="3" ht="17" spans="1:15">
      <c r="A3" s="2" t="s">
        <v>2</v>
      </c>
      <c r="B3" s="3">
        <f t="shared" ref="B3:O3" si="1">B2/(1+$B$8/$B$7)^B1</f>
        <v>50</v>
      </c>
      <c r="C3" s="3">
        <f t="shared" si="1"/>
        <v>50</v>
      </c>
      <c r="D3" s="3">
        <f t="shared" si="1"/>
        <v>50</v>
      </c>
      <c r="E3" s="3">
        <f t="shared" si="1"/>
        <v>50</v>
      </c>
      <c r="F3" s="3">
        <f t="shared" si="1"/>
        <v>50</v>
      </c>
      <c r="G3" s="3">
        <f t="shared" si="1"/>
        <v>50</v>
      </c>
      <c r="H3" s="3">
        <f t="shared" si="1"/>
        <v>50</v>
      </c>
      <c r="I3" s="3">
        <f t="shared" si="1"/>
        <v>50</v>
      </c>
      <c r="J3" s="3">
        <f t="shared" si="1"/>
        <v>50</v>
      </c>
      <c r="K3" s="3">
        <f t="shared" si="1"/>
        <v>50</v>
      </c>
      <c r="L3" s="3">
        <f t="shared" si="1"/>
        <v>50</v>
      </c>
      <c r="M3" s="3">
        <f t="shared" si="1"/>
        <v>50</v>
      </c>
      <c r="N3" s="3">
        <f t="shared" si="1"/>
        <v>50</v>
      </c>
      <c r="O3" s="3">
        <f t="shared" si="1"/>
        <v>1050</v>
      </c>
    </row>
    <row r="4" ht="34" spans="1:9">
      <c r="A4" s="4" t="s">
        <v>3</v>
      </c>
      <c r="B4" s="5">
        <f>SUM(B3:O3)</f>
        <v>1700</v>
      </c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ht="17" spans="1:9">
      <c r="A6" s="6" t="s">
        <v>4</v>
      </c>
      <c r="B6" s="6">
        <f>1000</f>
        <v>1000</v>
      </c>
      <c r="C6" s="4"/>
      <c r="D6" s="4"/>
      <c r="E6" s="4"/>
      <c r="F6" s="4"/>
      <c r="G6" s="4"/>
      <c r="H6" s="4"/>
      <c r="I6" s="4"/>
    </row>
    <row r="7" ht="17" spans="1:9">
      <c r="A7" s="6" t="s">
        <v>5</v>
      </c>
      <c r="B7" s="6">
        <f>2</f>
        <v>2</v>
      </c>
      <c r="C7" s="4"/>
      <c r="D7" s="4"/>
      <c r="E7" s="4"/>
      <c r="F7" s="4"/>
      <c r="G7" s="4"/>
      <c r="H7" s="4"/>
      <c r="I7" s="4"/>
    </row>
    <row r="8" spans="1:2">
      <c r="A8" s="7" t="s">
        <v>14</v>
      </c>
      <c r="B8" s="8">
        <v>0</v>
      </c>
    </row>
    <row r="9" ht="17" spans="1:2">
      <c r="A9" s="6" t="s">
        <v>7</v>
      </c>
      <c r="B9" s="7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jianjun.gao</cp:lastModifiedBy>
  <dcterms:created xsi:type="dcterms:W3CDTF">2015-06-06T18:19:00Z</dcterms:created>
  <dcterms:modified xsi:type="dcterms:W3CDTF">2025-03-14T20:29:20Z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1033-6.10.2.8876</vt:lpwstr>
  </property>
  <property fmtid="{D5CDD505-2E9C-101B-9397-08002B2CF9AE}" pid="3" name="ICV">
    <vt:lpwstr>F414FF81FA098E56F08DD36799CFCFBA_42</vt:lpwstr>
  </property>
</Properties>
</file>