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filterPrivacy="1"/>
  <xr:revisionPtr revIDLastSave="0" documentId="13_ncr:1_{779C15C9-22D7-D64B-9335-8C71E081A4AD}" xr6:coauthVersionLast="47" xr6:coauthVersionMax="47" xr10:uidLastSave="{00000000-0000-0000-0000-000000000000}"/>
  <bookViews>
    <workbookView xWindow="1420" yWindow="1200" windowWidth="33000" windowHeight="20500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" i="1" l="1"/>
  <c r="B7" i="3"/>
  <c r="B6" i="3"/>
  <c r="M2" i="3" s="1"/>
  <c r="M3" i="3" s="1"/>
  <c r="L3" i="3"/>
  <c r="K3" i="3"/>
  <c r="D3" i="3"/>
  <c r="C3" i="3"/>
  <c r="O2" i="3"/>
  <c r="O3" i="3" s="1"/>
  <c r="N2" i="3"/>
  <c r="N3" i="3"/>
  <c r="L2" i="3"/>
  <c r="K2" i="3"/>
  <c r="J2" i="3"/>
  <c r="J3" i="3"/>
  <c r="I2" i="3"/>
  <c r="I3" i="3"/>
  <c r="H2" i="3"/>
  <c r="H3" i="3" s="1"/>
  <c r="G2" i="3"/>
  <c r="G3" i="3" s="1"/>
  <c r="F2" i="3"/>
  <c r="F3" i="3"/>
  <c r="E2" i="3"/>
  <c r="E3" i="3" s="1"/>
  <c r="D2" i="3"/>
  <c r="C2" i="3"/>
  <c r="B2" i="3"/>
  <c r="B3" i="3"/>
  <c r="B4" i="3" s="1"/>
  <c r="B11" i="1"/>
  <c r="B10" i="1"/>
  <c r="E3" i="1" s="1"/>
  <c r="E4" i="1" s="1"/>
  <c r="F3" i="1" l="1"/>
  <c r="F4" i="1" s="1"/>
  <c r="G3" i="1"/>
  <c r="G4" i="1" s="1"/>
  <c r="B3" i="1"/>
  <c r="B4" i="1" s="1"/>
  <c r="H3" i="1"/>
  <c r="H4" i="1" s="1"/>
  <c r="I3" i="1"/>
  <c r="I4" i="1" s="1"/>
  <c r="C3" i="1"/>
  <c r="C4" i="1" s="1"/>
  <c r="D3" i="1"/>
  <c r="D4" i="1" s="1"/>
  <c r="B7" i="1" l="1"/>
  <c r="B5" i="1" l="1"/>
  <c r="B6" i="1" s="1"/>
  <c r="G5" i="1"/>
  <c r="G6" i="1" s="1"/>
  <c r="H5" i="1"/>
  <c r="H6" i="1" s="1"/>
  <c r="I5" i="1"/>
  <c r="I6" i="1" s="1"/>
  <c r="F5" i="1"/>
  <c r="F6" i="1" s="1"/>
  <c r="E5" i="1"/>
  <c r="E6" i="1" s="1"/>
  <c r="D5" i="1"/>
  <c r="D6" i="1" s="1"/>
  <c r="C5" i="1"/>
  <c r="C6" i="1" s="1"/>
  <c r="B8" i="1" l="1"/>
</calcChain>
</file>

<file path=xl/sharedStrings.xml><?xml version="1.0" encoding="utf-8"?>
<sst xmlns="http://schemas.openxmlformats.org/spreadsheetml/2006/main" count="21" uniqueCount="13">
  <si>
    <t>时间</t>
    <phoneticPr fontId="1" type="noConversion"/>
  </si>
  <si>
    <t>现金流</t>
    <phoneticPr fontId="1" type="noConversion"/>
  </si>
  <si>
    <t>A=</t>
    <phoneticPr fontId="1" type="noConversion"/>
  </si>
  <si>
    <t>m=</t>
    <phoneticPr fontId="1" type="noConversion"/>
  </si>
  <si>
    <t>y=</t>
    <phoneticPr fontId="1" type="noConversion"/>
  </si>
  <si>
    <t>c=</t>
    <phoneticPr fontId="1" type="noConversion"/>
  </si>
  <si>
    <t>现值</t>
    <phoneticPr fontId="1" type="noConversion"/>
  </si>
  <si>
    <t>周期</t>
    <phoneticPr fontId="1" type="noConversion"/>
  </si>
  <si>
    <t>债券价值=</t>
    <phoneticPr fontId="1" type="noConversion"/>
  </si>
  <si>
    <t>权重</t>
    <phoneticPr fontId="1" type="noConversion"/>
  </si>
  <si>
    <t>时间加权值</t>
    <phoneticPr fontId="1" type="noConversion"/>
  </si>
  <si>
    <t>久期=</t>
    <phoneticPr fontId="1" type="noConversion"/>
  </si>
  <si>
    <t>单位：年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</si>
</sst>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#,##0.000_ ;[Red]\-#,##0.000\ "/>
  </numFmts>
  <fonts count="5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b/>
      <sz val="11"/>
      <color rgb="FFC00000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164" fontId="0" fillId="3" borderId="0" xfId="0" applyNumberFormat="1" applyFill="1" applyAlignment="1">
      <alignment wrapText="1"/>
    </xf>
    <xf numFmtId="0" fontId="0" fillId="4" borderId="1" xfId="0" applyFill="1" applyBorder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0" xfId="0" applyFont="1" applyFill="1" applyBorder="1" applyAlignment="1">
      <alignment wrapText="1"/>
    </xf>
    <xf numFmtId="165" fontId="4" fillId="0" borderId="0" xfId="0" applyNumberFormat="1" applyFont="1"/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14" fontId="2" fillId="0" borderId="1" xfId="0" applyNumberFormat="1" applyFont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227" zoomScaleNormal="130" zoomScalePageLayoutView="130" workbookViewId="0">
      <selection activeCell="C11" sqref="C11"/>
    </sheetView>
  </sheetViews>
  <sheetFormatPr baseColWidth="10" defaultColWidth="8.83203125" defaultRowHeight="15" x14ac:dyDescent="0.2"/>
  <cols>
    <col min="1" max="1" width="10.33203125" customWidth="1"/>
    <col min="2" max="2" width="11.5" customWidth="1"/>
    <col min="3" max="3" width="13.6640625" customWidth="1"/>
    <col min="4" max="4" width="10.83203125" customWidth="1"/>
    <col min="5" max="5" width="11.83203125" customWidth="1"/>
    <col min="6" max="6" width="12.1640625" customWidth="1"/>
    <col min="7" max="7" width="15.1640625" customWidth="1"/>
    <col min="8" max="8" width="10" customWidth="1"/>
    <col min="9" max="9" width="10.6640625" customWidth="1"/>
  </cols>
  <sheetData>
    <row r="1" spans="1:11" ht="18.75" customHeight="1" x14ac:dyDescent="0.2">
      <c r="A1" s="14" t="s">
        <v>7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</row>
    <row r="2" spans="1:11" ht="21.75" customHeight="1" x14ac:dyDescent="0.2">
      <c r="A2" s="15" t="s">
        <v>0</v>
      </c>
      <c r="B2" s="16">
        <v>39569</v>
      </c>
      <c r="C2" s="16">
        <v>39753</v>
      </c>
      <c r="D2" s="16">
        <v>39934</v>
      </c>
      <c r="E2" s="16">
        <v>40118</v>
      </c>
      <c r="F2" s="16">
        <v>40299</v>
      </c>
      <c r="G2" s="16">
        <v>40483</v>
      </c>
      <c r="H2" s="16">
        <v>40664</v>
      </c>
      <c r="I2" s="16">
        <v>40848</v>
      </c>
      <c r="J2" s="1"/>
      <c r="K2" s="1"/>
    </row>
    <row r="3" spans="1:11" ht="17.25" customHeight="1" x14ac:dyDescent="0.2">
      <c r="A3" s="17" t="s">
        <v>1</v>
      </c>
      <c r="B3" s="18">
        <f t="shared" ref="B3:H3" si="0">$B$10*$B$13/$B$11</f>
        <v>60</v>
      </c>
      <c r="C3" s="18">
        <f t="shared" si="0"/>
        <v>60</v>
      </c>
      <c r="D3" s="18">
        <f t="shared" si="0"/>
        <v>60</v>
      </c>
      <c r="E3" s="18">
        <f t="shared" si="0"/>
        <v>60</v>
      </c>
      <c r="F3" s="18">
        <f t="shared" si="0"/>
        <v>60</v>
      </c>
      <c r="G3" s="18">
        <f t="shared" si="0"/>
        <v>60</v>
      </c>
      <c r="H3" s="18">
        <f t="shared" si="0"/>
        <v>60</v>
      </c>
      <c r="I3" s="18">
        <f>$B$10*$B$13/$B$11+B10</f>
        <v>1060</v>
      </c>
      <c r="J3" s="1"/>
      <c r="K3" s="1"/>
    </row>
    <row r="4" spans="1:11" ht="16.5" customHeight="1" x14ac:dyDescent="0.2">
      <c r="A4" s="17" t="s">
        <v>6</v>
      </c>
      <c r="B4" s="19">
        <f>B3/(1+$B$12/$B$11)^B1</f>
        <v>54.54545454545454</v>
      </c>
      <c r="C4" s="19">
        <f t="shared" ref="C4:I4" si="1">C3/(1+$B$12/$B$11)^C1</f>
        <v>49.586776859504127</v>
      </c>
      <c r="D4" s="19">
        <f t="shared" si="1"/>
        <v>45.078888054094655</v>
      </c>
      <c r="E4" s="19">
        <f t="shared" si="1"/>
        <v>40.98080732190423</v>
      </c>
      <c r="F4" s="19">
        <f t="shared" si="1"/>
        <v>37.255279383549301</v>
      </c>
      <c r="G4" s="19">
        <f t="shared" si="1"/>
        <v>33.868435803226632</v>
      </c>
      <c r="H4" s="19">
        <f t="shared" si="1"/>
        <v>30.789487093842386</v>
      </c>
      <c r="I4" s="19">
        <f t="shared" si="1"/>
        <v>494.49782302231716</v>
      </c>
      <c r="J4" s="1"/>
      <c r="K4" s="1"/>
    </row>
    <row r="5" spans="1:11" ht="18.75" customHeight="1" x14ac:dyDescent="0.2">
      <c r="A5" s="17" t="s">
        <v>9</v>
      </c>
      <c r="B5" s="19">
        <f>B4/$B$7</f>
        <v>6.9343058529021562E-2</v>
      </c>
      <c r="C5" s="19">
        <f t="shared" ref="C5:I5" si="2">C4/$B$7</f>
        <v>6.303914411729232E-2</v>
      </c>
      <c r="D5" s="19">
        <f t="shared" si="2"/>
        <v>5.7308312833902107E-2</v>
      </c>
      <c r="E5" s="19">
        <f t="shared" si="2"/>
        <v>5.2098466212638278E-2</v>
      </c>
      <c r="F5" s="19">
        <f t="shared" si="2"/>
        <v>4.7362242011489343E-2</v>
      </c>
      <c r="G5" s="19">
        <f t="shared" si="2"/>
        <v>4.3056583646808484E-2</v>
      </c>
      <c r="H5" s="19">
        <f t="shared" si="2"/>
        <v>3.9142348769825891E-2</v>
      </c>
      <c r="I5" s="19">
        <f t="shared" si="2"/>
        <v>0.6286498438790219</v>
      </c>
      <c r="J5" s="1"/>
      <c r="K5" s="1"/>
    </row>
    <row r="6" spans="1:11" ht="35.25" customHeight="1" x14ac:dyDescent="0.2">
      <c r="A6" s="17" t="s">
        <v>10</v>
      </c>
      <c r="B6" s="19">
        <f>B1*B5</f>
        <v>6.9343058529021562E-2</v>
      </c>
      <c r="C6" s="19">
        <f t="shared" ref="C6:I6" si="3">C1*C5</f>
        <v>0.12607828823458464</v>
      </c>
      <c r="D6" s="19">
        <f t="shared" si="3"/>
        <v>0.17192493850170631</v>
      </c>
      <c r="E6" s="19">
        <f t="shared" si="3"/>
        <v>0.20839386485055311</v>
      </c>
      <c r="F6" s="19">
        <f t="shared" si="3"/>
        <v>0.23681121005744671</v>
      </c>
      <c r="G6" s="19">
        <f t="shared" si="3"/>
        <v>0.25833950188085092</v>
      </c>
      <c r="H6" s="19">
        <f t="shared" si="3"/>
        <v>0.27399644138878121</v>
      </c>
      <c r="I6" s="19">
        <f t="shared" si="3"/>
        <v>5.0291987510321752</v>
      </c>
      <c r="J6" s="1"/>
      <c r="K6" s="1"/>
    </row>
    <row r="7" spans="1:11" ht="24.75" customHeight="1" x14ac:dyDescent="0.2">
      <c r="A7" s="17" t="s">
        <v>8</v>
      </c>
      <c r="B7" s="20">
        <f>SUM(B4:I4)</f>
        <v>786.60295208389311</v>
      </c>
      <c r="C7" s="1"/>
      <c r="D7" s="1"/>
      <c r="E7" s="1"/>
      <c r="F7" s="1"/>
      <c r="G7" s="1"/>
      <c r="H7" s="1"/>
      <c r="I7" s="1"/>
      <c r="J7" s="1"/>
      <c r="K7" s="1"/>
    </row>
    <row r="8" spans="1:11" ht="24.75" customHeight="1" x14ac:dyDescent="0.2">
      <c r="A8" s="17" t="s">
        <v>11</v>
      </c>
      <c r="B8" s="20">
        <f>SUM(B6:I6)/B11</f>
        <v>3.1870430272375598</v>
      </c>
      <c r="C8" s="9" t="s">
        <v>12</v>
      </c>
      <c r="D8" s="1"/>
      <c r="E8" s="1"/>
      <c r="F8" s="1"/>
      <c r="G8" s="1"/>
      <c r="H8" s="1"/>
      <c r="I8" s="1"/>
      <c r="J8" s="1"/>
      <c r="K8" s="1"/>
    </row>
    <row r="9" spans="1:11" ht="24.75" customHeight="1" x14ac:dyDescent="0.2">
      <c r="A9" s="1"/>
      <c r="B9" s="9"/>
      <c r="C9" s="1"/>
      <c r="D9" s="1"/>
      <c r="E9" s="1"/>
      <c r="F9" s="1"/>
      <c r="G9" s="1"/>
      <c r="H9" s="1"/>
      <c r="I9" s="1"/>
      <c r="J9" s="1"/>
      <c r="K9" s="1"/>
    </row>
    <row r="10" spans="1:11" ht="16" x14ac:dyDescent="0.2">
      <c r="A10" s="10" t="s">
        <v>2</v>
      </c>
      <c r="B10" s="10">
        <f>1000</f>
        <v>1000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6" x14ac:dyDescent="0.2">
      <c r="A11" s="10" t="s">
        <v>3</v>
      </c>
      <c r="B11" s="10">
        <f>2</f>
        <v>2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1" t="s">
        <v>4</v>
      </c>
      <c r="B12" s="11">
        <f>0.2</f>
        <v>0.2</v>
      </c>
    </row>
    <row r="13" spans="1:11" ht="16" x14ac:dyDescent="0.2">
      <c r="A13" s="10" t="s">
        <v>5</v>
      </c>
      <c r="B13" s="11">
        <v>0.12</v>
      </c>
    </row>
    <row r="15" spans="1:11" x14ac:dyDescent="0.2">
      <c r="A15" s="12"/>
      <c r="B1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topLeftCell="A16" workbookViewId="0">
      <selection activeCell="B5" sqref="B5"/>
    </sheetView>
  </sheetViews>
  <sheetFormatPr baseColWidth="10" defaultColWidth="8.83203125" defaultRowHeight="15" x14ac:dyDescent="0.2"/>
  <sheetData>
    <row r="1" spans="1:15" x14ac:dyDescent="0.2">
      <c r="A1" s="2" t="s">
        <v>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</row>
    <row r="2" spans="1:15" ht="16" x14ac:dyDescent="0.2">
      <c r="A2" s="3" t="s">
        <v>1</v>
      </c>
      <c r="B2" s="3">
        <f t="shared" ref="B2:N2" si="0">$B$6*$B$9/$B$7</f>
        <v>50</v>
      </c>
      <c r="C2" s="3">
        <f t="shared" si="0"/>
        <v>50</v>
      </c>
      <c r="D2" s="3">
        <f t="shared" si="0"/>
        <v>50</v>
      </c>
      <c r="E2" s="3">
        <f t="shared" si="0"/>
        <v>50</v>
      </c>
      <c r="F2" s="3">
        <f t="shared" si="0"/>
        <v>50</v>
      </c>
      <c r="G2" s="3">
        <f t="shared" si="0"/>
        <v>50</v>
      </c>
      <c r="H2" s="3">
        <f t="shared" si="0"/>
        <v>50</v>
      </c>
      <c r="I2" s="3">
        <f t="shared" si="0"/>
        <v>50</v>
      </c>
      <c r="J2" s="3">
        <f t="shared" si="0"/>
        <v>50</v>
      </c>
      <c r="K2" s="3">
        <f t="shared" si="0"/>
        <v>50</v>
      </c>
      <c r="L2" s="3">
        <f t="shared" si="0"/>
        <v>50</v>
      </c>
      <c r="M2" s="3">
        <f t="shared" si="0"/>
        <v>50</v>
      </c>
      <c r="N2" s="3">
        <f t="shared" si="0"/>
        <v>50</v>
      </c>
      <c r="O2" s="3">
        <f>$B$6*$B$9/$B$7+B6</f>
        <v>1050</v>
      </c>
    </row>
    <row r="3" spans="1:15" ht="16" x14ac:dyDescent="0.2">
      <c r="A3" s="3" t="s">
        <v>6</v>
      </c>
      <c r="B3" s="4">
        <f t="shared" ref="B3:O3" si="1">B2/(1+$B$8/$B$7)^B1</f>
        <v>50</v>
      </c>
      <c r="C3" s="4">
        <f t="shared" si="1"/>
        <v>50</v>
      </c>
      <c r="D3" s="4">
        <f t="shared" si="1"/>
        <v>50</v>
      </c>
      <c r="E3" s="4">
        <f t="shared" si="1"/>
        <v>50</v>
      </c>
      <c r="F3" s="4">
        <f t="shared" si="1"/>
        <v>50</v>
      </c>
      <c r="G3" s="4">
        <f t="shared" si="1"/>
        <v>50</v>
      </c>
      <c r="H3" s="4">
        <f t="shared" si="1"/>
        <v>50</v>
      </c>
      <c r="I3" s="4">
        <f t="shared" si="1"/>
        <v>50</v>
      </c>
      <c r="J3" s="4">
        <f t="shared" si="1"/>
        <v>50</v>
      </c>
      <c r="K3" s="4">
        <f t="shared" si="1"/>
        <v>50</v>
      </c>
      <c r="L3" s="4">
        <f t="shared" si="1"/>
        <v>50</v>
      </c>
      <c r="M3" s="4">
        <f t="shared" si="1"/>
        <v>50</v>
      </c>
      <c r="N3" s="4">
        <f t="shared" si="1"/>
        <v>50</v>
      </c>
      <c r="O3" s="4">
        <f t="shared" si="1"/>
        <v>1050</v>
      </c>
    </row>
    <row r="4" spans="1:15" ht="32" x14ac:dyDescent="0.2">
      <c r="A4" s="1" t="s">
        <v>8</v>
      </c>
      <c r="B4" s="7">
        <f>SUM(B3:O3)</f>
        <v>1700</v>
      </c>
      <c r="C4" s="1"/>
      <c r="D4" s="1"/>
      <c r="E4" s="1"/>
      <c r="F4" s="1"/>
      <c r="G4" s="1"/>
      <c r="H4" s="1"/>
      <c r="I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</row>
    <row r="6" spans="1:15" ht="16" x14ac:dyDescent="0.2">
      <c r="A6" s="5" t="s">
        <v>2</v>
      </c>
      <c r="B6" s="5">
        <f>1000</f>
        <v>1000</v>
      </c>
      <c r="C6" s="1"/>
      <c r="D6" s="1"/>
      <c r="E6" s="1"/>
      <c r="F6" s="1"/>
      <c r="G6" s="1"/>
      <c r="H6" s="1"/>
      <c r="I6" s="1"/>
    </row>
    <row r="7" spans="1:15" ht="16" x14ac:dyDescent="0.2">
      <c r="A7" s="5" t="s">
        <v>3</v>
      </c>
      <c r="B7" s="5">
        <f>2</f>
        <v>2</v>
      </c>
      <c r="C7" s="1"/>
      <c r="D7" s="1"/>
      <c r="E7" s="1"/>
      <c r="F7" s="1"/>
      <c r="G7" s="1"/>
      <c r="H7" s="1"/>
      <c r="I7" s="1"/>
    </row>
    <row r="8" spans="1:15" x14ac:dyDescent="0.2">
      <c r="A8" s="6" t="s">
        <v>4</v>
      </c>
      <c r="B8" s="8">
        <v>0</v>
      </c>
    </row>
    <row r="9" spans="1:15" ht="16" x14ac:dyDescent="0.2">
      <c r="A9" s="5" t="s">
        <v>5</v>
      </c>
      <c r="B9" s="6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2022-03-07T11:18:33Z</dcterms:modified>
</cp:coreProperties>
</file>