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 filterPrivacy="1"/>
  <xr:revisionPtr revIDLastSave="0" documentId="13_ncr:1_{8BFDA4C1-9871-B147-8D51-B60380BFDE27}" xr6:coauthVersionLast="47" xr6:coauthVersionMax="47" xr10:uidLastSave="{00000000-0000-0000-0000-000000000000}"/>
  <bookViews>
    <workbookView xWindow="5340" yWindow="1060" windowWidth="25600" windowHeight="19880" xr2:uid="{00000000-000D-0000-FFFF-FFFF00000000}"/>
  </bookViews>
  <sheets>
    <sheet name="data" sheetId="1" r:id="rId1"/>
    <sheet name="mvf" sheetId="5" r:id="rId2"/>
    <sheet name="mv_noshort" sheetId="3" r:id="rId3"/>
    <sheet name="Sheet1" sheetId="4" r:id="rId4"/>
    <sheet name="A6" sheetId="7" r:id="rId5"/>
    <sheet name="Sheet2" sheetId="6" r:id="rId6"/>
  </sheets>
  <definedNames>
    <definedName name="solver_adj" localSheetId="2" hidden="1">mv_noshort!$A$15:$F$15</definedName>
    <definedName name="solver_adj" localSheetId="1" hidden="1">mvf!$A$15:$G$15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mv_noshort!$G$15</definedName>
    <definedName name="solver_lhs1" localSheetId="1" hidden="1">mvf!$H$15</definedName>
    <definedName name="solver_lhs2" localSheetId="2" hidden="1">mv_noshort!$H$15</definedName>
    <definedName name="solver_lhs2" localSheetId="1" hidden="1">mvf!$I$15</definedName>
    <definedName name="solver_lhs3" localSheetId="1" hidden="1">mvf!$I$25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2</definedName>
    <definedName name="solver_nod" localSheetId="2" hidden="1">2147483647</definedName>
    <definedName name="solver_nod" localSheetId="1" hidden="1">2147483647</definedName>
    <definedName name="solver_num" localSheetId="2" hidden="1">2</definedName>
    <definedName name="solver_num" localSheetId="1" hidden="1">2</definedName>
    <definedName name="solver_nwt" localSheetId="2" hidden="1">1</definedName>
    <definedName name="solver_nwt" localSheetId="1" hidden="1">1</definedName>
    <definedName name="solver_opt" localSheetId="2" hidden="1">mv_noshort!$J$15</definedName>
    <definedName name="solver_opt" localSheetId="1" hidden="1">mvf!$K$15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el1" localSheetId="2" hidden="1">1</definedName>
    <definedName name="solver_rel1" localSheetId="1" hidden="1">2</definedName>
    <definedName name="solver_rel2" localSheetId="2" hidden="1">3</definedName>
    <definedName name="solver_rel2" localSheetId="1" hidden="1">2</definedName>
    <definedName name="solver_rel3" localSheetId="1" hidden="1">2</definedName>
    <definedName name="solver_rhs1" localSheetId="2" hidden="1">1</definedName>
    <definedName name="solver_rhs1" localSheetId="1" hidden="1">1</definedName>
    <definedName name="solver_rhs2" localSheetId="2" hidden="1">mv_noshort!$I$15</definedName>
    <definedName name="solver_rhs2" localSheetId="1" hidden="1">mvf!$J$15</definedName>
    <definedName name="solver_rhs3" localSheetId="1" hidden="1">mvf!$J$25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7" l="1"/>
  <c r="F2" i="7"/>
  <c r="G2" i="7"/>
  <c r="C2" i="7"/>
  <c r="G7" i="7"/>
  <c r="F6" i="7"/>
  <c r="E5" i="7"/>
  <c r="D4" i="7"/>
  <c r="C3" i="7"/>
  <c r="D2" i="7" s="1"/>
  <c r="B2" i="7"/>
  <c r="J2" i="7" s="1" a="1"/>
  <c r="J2" i="7" s="1"/>
  <c r="M4" i="7" l="1"/>
  <c r="K3" i="7"/>
  <c r="K7" i="7"/>
  <c r="J7" i="7"/>
  <c r="L4" i="7"/>
  <c r="M5" i="7"/>
  <c r="L5" i="7"/>
  <c r="O7" i="7"/>
  <c r="K5" i="7"/>
  <c r="M2" i="7"/>
  <c r="N7" i="7"/>
  <c r="L6" i="7"/>
  <c r="J5" i="7"/>
  <c r="N3" i="7"/>
  <c r="M7" i="7"/>
  <c r="K6" i="7"/>
  <c r="O4" i="7"/>
  <c r="M3" i="7"/>
  <c r="K2" i="7"/>
  <c r="O5" i="7"/>
  <c r="N5" i="7"/>
  <c r="J3" i="7"/>
  <c r="O6" i="7"/>
  <c r="K4" i="7"/>
  <c r="O2" i="7"/>
  <c r="N6" i="7"/>
  <c r="J4" i="7"/>
  <c r="N2" i="7"/>
  <c r="M6" i="7"/>
  <c r="O3" i="7"/>
  <c r="L2" i="7"/>
  <c r="L7" i="7"/>
  <c r="J6" i="7"/>
  <c r="N4" i="7"/>
  <c r="L3" i="7"/>
  <c r="H16" i="5" l="1"/>
  <c r="H17" i="5"/>
  <c r="H18" i="5"/>
  <c r="H19" i="5"/>
  <c r="H20" i="5"/>
  <c r="H21" i="5"/>
  <c r="H22" i="5"/>
  <c r="H23" i="5"/>
  <c r="H24" i="5"/>
  <c r="H25" i="5"/>
  <c r="H15" i="5"/>
  <c r="F11" i="5"/>
  <c r="F10" i="5"/>
  <c r="E10" i="5"/>
  <c r="F9" i="5"/>
  <c r="E9" i="5"/>
  <c r="D9" i="5"/>
  <c r="F8" i="5"/>
  <c r="E8" i="5"/>
  <c r="D8" i="5"/>
  <c r="C8" i="5"/>
  <c r="F7" i="5"/>
  <c r="E7" i="5"/>
  <c r="D7" i="5"/>
  <c r="C7" i="5"/>
  <c r="B7" i="5"/>
  <c r="F6" i="5"/>
  <c r="E6" i="5"/>
  <c r="D6" i="5"/>
  <c r="C6" i="5"/>
  <c r="B6" i="5"/>
  <c r="A6" i="5"/>
  <c r="M24" i="5" s="1" a="1"/>
  <c r="F3" i="5"/>
  <c r="E3" i="5"/>
  <c r="D3" i="5"/>
  <c r="C3" i="5"/>
  <c r="B3" i="5"/>
  <c r="A3" i="5"/>
  <c r="I18" i="5" l="1"/>
  <c r="I25" i="5"/>
  <c r="I21" i="5"/>
  <c r="I17" i="5"/>
  <c r="I24" i="5"/>
  <c r="I20" i="5"/>
  <c r="I16" i="5"/>
  <c r="I23" i="5"/>
  <c r="I19" i="5"/>
  <c r="I15" i="5"/>
  <c r="I22" i="5"/>
  <c r="P24" i="5"/>
  <c r="O24" i="5"/>
  <c r="R24" i="5"/>
  <c r="N24" i="5"/>
  <c r="Q24" i="5"/>
  <c r="M24" i="5"/>
  <c r="K24" i="5" s="1"/>
  <c r="M17" i="5" a="1"/>
  <c r="M19" i="5" a="1"/>
  <c r="M21" i="5" a="1"/>
  <c r="M23" i="5" a="1"/>
  <c r="M18" i="5" a="1"/>
  <c r="M22" i="5" a="1"/>
  <c r="P22" i="5" l="1"/>
  <c r="O22" i="5"/>
  <c r="R22" i="5"/>
  <c r="N22" i="5"/>
  <c r="Q22" i="5"/>
  <c r="M22" i="5"/>
  <c r="K22" i="5" s="1"/>
  <c r="R23" i="5"/>
  <c r="N23" i="5"/>
  <c r="Q23" i="5"/>
  <c r="M23" i="5"/>
  <c r="K23" i="5" s="1"/>
  <c r="P23" i="5"/>
  <c r="O23" i="5"/>
  <c r="R19" i="5"/>
  <c r="N19" i="5"/>
  <c r="Q19" i="5"/>
  <c r="M19" i="5"/>
  <c r="K19" i="5" s="1"/>
  <c r="P19" i="5"/>
  <c r="O19" i="5"/>
  <c r="P18" i="5"/>
  <c r="O18" i="5"/>
  <c r="R18" i="5"/>
  <c r="N18" i="5"/>
  <c r="Q18" i="5"/>
  <c r="M18" i="5"/>
  <c r="K18" i="5" s="1"/>
  <c r="R21" i="5"/>
  <c r="N21" i="5"/>
  <c r="Q21" i="5"/>
  <c r="M21" i="5"/>
  <c r="K21" i="5" s="1"/>
  <c r="P21" i="5"/>
  <c r="O21" i="5"/>
  <c r="R17" i="5"/>
  <c r="N17" i="5"/>
  <c r="Q17" i="5"/>
  <c r="M17" i="5"/>
  <c r="K17" i="5" s="1"/>
  <c r="P17" i="5"/>
  <c r="O17" i="5"/>
  <c r="F11" i="4"/>
  <c r="F10" i="4"/>
  <c r="E10" i="4"/>
  <c r="F9" i="4"/>
  <c r="E9" i="4"/>
  <c r="D9" i="4"/>
  <c r="F8" i="4"/>
  <c r="E8" i="4"/>
  <c r="D8" i="4"/>
  <c r="C8" i="4"/>
  <c r="F7" i="4"/>
  <c r="E7" i="4"/>
  <c r="D7" i="4"/>
  <c r="C7" i="4"/>
  <c r="B7" i="4"/>
  <c r="F6" i="4"/>
  <c r="E6" i="4"/>
  <c r="D6" i="4"/>
  <c r="C6" i="4"/>
  <c r="B6" i="4"/>
  <c r="A6" i="4"/>
  <c r="F3" i="4"/>
  <c r="E3" i="4"/>
  <c r="D3" i="4"/>
  <c r="C3" i="4"/>
  <c r="B3" i="4"/>
  <c r="A3" i="4"/>
  <c r="G15" i="3" l="1"/>
  <c r="F11" i="3"/>
  <c r="F10" i="3"/>
  <c r="E10" i="3"/>
  <c r="F9" i="3"/>
  <c r="E9" i="3"/>
  <c r="D9" i="3"/>
  <c r="F8" i="3"/>
  <c r="E8" i="3"/>
  <c r="D8" i="3"/>
  <c r="C8" i="3"/>
  <c r="F7" i="3"/>
  <c r="E7" i="3"/>
  <c r="D7" i="3"/>
  <c r="C7" i="3"/>
  <c r="B7" i="3"/>
  <c r="F6" i="3"/>
  <c r="E6" i="3"/>
  <c r="D6" i="3"/>
  <c r="C6" i="3"/>
  <c r="B6" i="3"/>
  <c r="A6" i="3"/>
  <c r="F3" i="3"/>
  <c r="E3" i="3"/>
  <c r="D3" i="3"/>
  <c r="C3" i="3"/>
  <c r="B3" i="3"/>
  <c r="A3" i="3"/>
  <c r="H15" i="3" l="1"/>
  <c r="I6" i="3" l="1" a="1"/>
  <c r="J8" i="3"/>
  <c r="B8" i="3"/>
  <c r="J6" i="5" a="1"/>
  <c r="M11" i="5"/>
  <c r="D11" i="5"/>
  <c r="J10" i="5"/>
  <c r="A10" i="5"/>
  <c r="K10" i="3"/>
  <c r="C10" i="3"/>
  <c r="I6" i="4" a="1"/>
  <c r="K9" i="4"/>
  <c r="C9" i="4"/>
  <c r="K10" i="4"/>
  <c r="C10" i="4"/>
  <c r="K9" i="3"/>
  <c r="C9" i="3"/>
  <c r="I9" i="3"/>
  <c r="A9" i="3"/>
  <c r="J9" i="3"/>
  <c r="B9" i="3"/>
  <c r="I11" i="4"/>
  <c r="A11" i="4"/>
  <c r="K11" i="5"/>
  <c r="B11" i="5"/>
  <c r="K9" i="5"/>
  <c r="B9" i="5"/>
  <c r="N11" i="5"/>
  <c r="E11" i="5"/>
  <c r="J11" i="5"/>
  <c r="A11" i="5"/>
  <c r="J11" i="4"/>
  <c r="B11" i="4"/>
  <c r="L11" i="3"/>
  <c r="D11" i="3"/>
  <c r="I7" i="3"/>
  <c r="A7" i="3"/>
  <c r="I11" i="3"/>
  <c r="A11" i="3"/>
  <c r="J9" i="4"/>
  <c r="B9" i="4"/>
  <c r="I10" i="4"/>
  <c r="A10" i="4"/>
  <c r="I8" i="4"/>
  <c r="A8" i="4"/>
  <c r="J9" i="5"/>
  <c r="A9" i="5"/>
  <c r="M10" i="5"/>
  <c r="D10" i="5"/>
  <c r="L10" i="5"/>
  <c r="C10" i="5"/>
  <c r="I8" i="3"/>
  <c r="A8" i="3"/>
  <c r="I10" i="3"/>
  <c r="A10" i="3"/>
  <c r="J10" i="3"/>
  <c r="B10" i="3"/>
  <c r="L10" i="3"/>
  <c r="D10" i="3"/>
  <c r="J11" i="3"/>
  <c r="B11" i="3"/>
  <c r="K11" i="3"/>
  <c r="C11" i="3"/>
  <c r="M11" i="3"/>
  <c r="E11" i="3"/>
  <c r="L15" i="3" a="1"/>
  <c r="J10" i="4"/>
  <c r="B10" i="4"/>
  <c r="K11" i="4"/>
  <c r="C11" i="4"/>
  <c r="L10" i="4"/>
  <c r="D10" i="4"/>
  <c r="K8" i="5"/>
  <c r="B8" i="5"/>
  <c r="J7" i="5"/>
  <c r="A7" i="5"/>
  <c r="J8" i="5"/>
  <c r="A8" i="5"/>
  <c r="L9" i="5"/>
  <c r="C9" i="5"/>
  <c r="K10" i="5"/>
  <c r="B10" i="5"/>
  <c r="L11" i="5"/>
  <c r="C11" i="5"/>
  <c r="M25" i="5" a="1"/>
  <c r="M15" i="5" a="1"/>
  <c r="M20" i="5" a="1"/>
  <c r="M16" i="5" a="1"/>
  <c r="O16" i="5"/>
  <c r="P16" i="5"/>
  <c r="N16" i="5"/>
  <c r="R16" i="5"/>
  <c r="M16" i="5"/>
  <c r="Q16" i="5"/>
  <c r="M11" i="4"/>
  <c r="E11" i="4"/>
  <c r="I7" i="4"/>
  <c r="A7" i="4"/>
  <c r="J8" i="4"/>
  <c r="B8" i="4"/>
  <c r="I9" i="4"/>
  <c r="A9" i="4"/>
  <c r="L11" i="4"/>
  <c r="D11" i="4"/>
  <c r="A14" i="4" a="1"/>
  <c r="K16" i="5"/>
  <c r="A16" i="4"/>
  <c r="B19" i="4"/>
  <c r="D14" i="4"/>
  <c r="B15" i="4"/>
  <c r="D17" i="4"/>
  <c r="F18" i="4"/>
  <c r="C16" i="4"/>
  <c r="C19" i="4"/>
  <c r="D19" i="4"/>
  <c r="E16" i="4"/>
  <c r="F16" i="4"/>
  <c r="E14" i="4"/>
  <c r="B16" i="4"/>
  <c r="B14" i="4"/>
  <c r="F15" i="4"/>
  <c r="D16" i="4"/>
  <c r="C17" i="4"/>
  <c r="A15" i="4"/>
  <c r="C14" i="4"/>
  <c r="F14" i="4"/>
  <c r="C18" i="4"/>
  <c r="A14" i="4"/>
  <c r="F19" i="4"/>
  <c r="A18" i="4"/>
  <c r="E17" i="4"/>
  <c r="A17" i="4"/>
  <c r="B17" i="4"/>
  <c r="C15" i="4"/>
  <c r="D15" i="4"/>
  <c r="B18" i="4"/>
  <c r="E19" i="4"/>
  <c r="F17" i="4"/>
  <c r="D18" i="4"/>
  <c r="E15" i="4"/>
  <c r="E18" i="4"/>
  <c r="A19" i="4"/>
  <c r="P15" i="3"/>
  <c r="N15" i="3"/>
  <c r="Q15" i="3"/>
  <c r="O15" i="3"/>
  <c r="M15" i="3"/>
  <c r="L15" i="3"/>
  <c r="L8" i="3"/>
  <c r="M7" i="3"/>
  <c r="N8" i="3"/>
  <c r="L9" i="3"/>
  <c r="I6" i="3"/>
  <c r="L6" i="3"/>
  <c r="J7" i="3"/>
  <c r="M6" i="3"/>
  <c r="N9" i="3"/>
  <c r="K7" i="3"/>
  <c r="N11" i="3"/>
  <c r="J6" i="3"/>
  <c r="M8" i="3"/>
  <c r="N6" i="3"/>
  <c r="N10" i="3"/>
  <c r="K8" i="3"/>
  <c r="N7" i="3"/>
  <c r="L7" i="3"/>
  <c r="M9" i="3"/>
  <c r="K6" i="3"/>
  <c r="M10" i="3"/>
  <c r="L9" i="4"/>
  <c r="M7" i="4"/>
  <c r="N10" i="4"/>
  <c r="K8" i="4"/>
  <c r="K6" i="4"/>
  <c r="N9" i="4"/>
  <c r="N7" i="4"/>
  <c r="J6" i="4"/>
  <c r="L8" i="4"/>
  <c r="N11" i="4"/>
  <c r="M9" i="4"/>
  <c r="I6" i="4"/>
  <c r="N6" i="4"/>
  <c r="M6" i="4"/>
  <c r="L6" i="4"/>
  <c r="L7" i="4"/>
  <c r="N8" i="4"/>
  <c r="K7" i="4"/>
  <c r="M8" i="4"/>
  <c r="J7" i="4"/>
  <c r="M10" i="4"/>
  <c r="Q20" i="5"/>
  <c r="M20" i="5"/>
  <c r="P20" i="5"/>
  <c r="N20" i="5"/>
  <c r="R20" i="5"/>
  <c r="O20" i="5"/>
  <c r="P25" i="5"/>
  <c r="Q25" i="5"/>
  <c r="R25" i="5"/>
  <c r="O25" i="5"/>
  <c r="N25" i="5"/>
  <c r="M25" i="5"/>
  <c r="R15" i="5"/>
  <c r="Q15" i="5"/>
  <c r="N15" i="5"/>
  <c r="M15" i="5"/>
  <c r="P15" i="5"/>
  <c r="O15" i="5"/>
  <c r="L6" i="5"/>
  <c r="O10" i="5"/>
  <c r="O7" i="5"/>
  <c r="M7" i="5"/>
  <c r="O6" i="5"/>
  <c r="N10" i="5"/>
  <c r="L8" i="5"/>
  <c r="N8" i="5"/>
  <c r="M9" i="5"/>
  <c r="K7" i="5"/>
  <c r="K6" i="5"/>
  <c r="N9" i="5"/>
  <c r="N6" i="5"/>
  <c r="O8" i="5"/>
  <c r="O9" i="5"/>
  <c r="L7" i="5"/>
  <c r="O11" i="5"/>
  <c r="J6" i="5"/>
  <c r="M8" i="5"/>
  <c r="M6" i="5"/>
  <c r="N7" i="5"/>
  <c r="J15" i="3"/>
  <c r="K20" i="5"/>
  <c r="K25" i="5"/>
  <c r="K15" i="5"/>
  <c r="I14" i="4" a="1"/>
  <c r="K14" i="4"/>
  <c r="M14" i="4"/>
  <c r="L14" i="4"/>
  <c r="N14" i="4"/>
  <c r="J14" i="4"/>
  <c r="I14" i="4"/>
</calcChain>
</file>

<file path=xl/sharedStrings.xml><?xml version="1.0" encoding="utf-8"?>
<sst xmlns="http://schemas.openxmlformats.org/spreadsheetml/2006/main" count="81" uniqueCount="32">
  <si>
    <t xml:space="preserve">  Average Value Weighted Returns -- Monthly</t>
  </si>
  <si>
    <t>Agric</t>
  </si>
  <si>
    <t xml:space="preserve">Hlth </t>
  </si>
  <si>
    <t xml:space="preserve">Mach </t>
  </si>
  <si>
    <t>Telcm</t>
  </si>
  <si>
    <t>Banks</t>
  </si>
  <si>
    <t>Insur</t>
  </si>
  <si>
    <t>This file was created by CMPT_IND_RETS using the 201512 CRSP database.</t>
  </si>
  <si>
    <t>It contains value- and equal-weighted returns for 48 industry portfolios.</t>
  </si>
  <si>
    <t>Expected Return R=</t>
    <phoneticPr fontId="1" type="noConversion"/>
  </si>
  <si>
    <t>stock 1</t>
    <phoneticPr fontId="1" type="noConversion"/>
  </si>
  <si>
    <t>stock 2</t>
    <phoneticPr fontId="1" type="noConversion"/>
  </si>
  <si>
    <t>stock 3</t>
    <phoneticPr fontId="1" type="noConversion"/>
  </si>
  <si>
    <t>stock 4</t>
    <phoneticPr fontId="1" type="noConversion"/>
  </si>
  <si>
    <t>stock 5</t>
    <phoneticPr fontId="1" type="noConversion"/>
  </si>
  <si>
    <t>Covariance Matrix Sigma=</t>
    <phoneticPr fontId="1" type="noConversion"/>
  </si>
  <si>
    <t>stock 6</t>
    <phoneticPr fontId="1" type="noConversion"/>
  </si>
  <si>
    <t>X1</t>
    <phoneticPr fontId="1" type="noConversion"/>
  </si>
  <si>
    <t>X2</t>
  </si>
  <si>
    <t>X3</t>
  </si>
  <si>
    <t>X4</t>
  </si>
  <si>
    <t>X5</t>
  </si>
  <si>
    <t>X6</t>
  </si>
  <si>
    <t>RP</t>
    <phoneticPr fontId="1" type="noConversion"/>
  </si>
  <si>
    <t>Rd</t>
    <phoneticPr fontId="1" type="noConversion"/>
  </si>
  <si>
    <t>Varp</t>
    <phoneticPr fontId="1" type="noConversion"/>
  </si>
  <si>
    <t>buffer</t>
    <phoneticPr fontId="1" type="noConversion"/>
  </si>
  <si>
    <t>sumX</t>
    <phoneticPr fontId="1" type="noConversion"/>
  </si>
  <si>
    <t>R*inv(sigma)</t>
    <phoneticPr fontId="1" type="noConversion"/>
  </si>
  <si>
    <t>=</t>
    <phoneticPr fontId="1" type="noConversion"/>
  </si>
  <si>
    <t>xf</t>
    <phoneticPr fontId="1" type="noConversion"/>
  </si>
  <si>
    <t>rf=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</si>
</sst>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5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2" xfId="0" applyFont="1" applyFill="1" applyBorder="1"/>
    <xf numFmtId="0" fontId="3" fillId="0" borderId="0" xfId="0" applyFont="1"/>
    <xf numFmtId="0" fontId="3" fillId="5" borderId="3" xfId="0" applyFont="1" applyFill="1" applyBorder="1"/>
    <xf numFmtId="0" fontId="3" fillId="0" borderId="3" xfId="0" applyFont="1" applyBorder="1"/>
    <xf numFmtId="0" fontId="3" fillId="5" borderId="2" xfId="0" applyFont="1" applyFill="1" applyBorder="1"/>
    <xf numFmtId="0" fontId="3" fillId="0" borderId="2" xfId="0" applyFont="1" applyBorder="1"/>
    <xf numFmtId="164" fontId="4" fillId="4" borderId="4" xfId="0" applyNumberFormat="1" applyFont="1" applyFill="1" applyBorder="1"/>
    <xf numFmtId="164" fontId="3" fillId="4" borderId="4" xfId="0" applyNumberFormat="1" applyFont="1" applyFill="1" applyBorder="1"/>
    <xf numFmtId="164" fontId="3" fillId="4" borderId="1" xfId="0" applyNumberFormat="1" applyFont="1" applyFill="1" applyBorder="1"/>
    <xf numFmtId="0" fontId="3" fillId="6" borderId="1" xfId="0" applyFont="1" applyFill="1" applyBorder="1"/>
    <xf numFmtId="0" fontId="3" fillId="0" borderId="5" xfId="0" applyFont="1" applyBorder="1"/>
    <xf numFmtId="0" fontId="3" fillId="5" borderId="1" xfId="0" applyFont="1" applyFill="1" applyBorder="1"/>
    <xf numFmtId="0" fontId="3" fillId="0" borderId="1" xfId="0" applyFont="1" applyBorder="1"/>
    <xf numFmtId="0" fontId="3" fillId="2" borderId="0" xfId="0" applyFont="1" applyFill="1"/>
    <xf numFmtId="0" fontId="2" fillId="3" borderId="0" xfId="0" applyFont="1" applyFill="1" applyBorder="1"/>
    <xf numFmtId="0" fontId="3" fillId="0" borderId="0" xfId="0" applyFont="1" applyBorder="1"/>
    <xf numFmtId="164" fontId="4" fillId="4" borderId="0" xfId="0" applyNumberFormat="1" applyFont="1" applyFill="1" applyBorder="1"/>
    <xf numFmtId="164" fontId="3" fillId="4" borderId="0" xfId="0" applyNumberFormat="1" applyFont="1" applyFill="1" applyBorder="1"/>
    <xf numFmtId="0" fontId="3" fillId="2" borderId="0" xfId="0" applyFont="1" applyFill="1" applyBorder="1"/>
    <xf numFmtId="0" fontId="3" fillId="5" borderId="4" xfId="0" applyFont="1" applyFill="1" applyBorder="1"/>
    <xf numFmtId="0" fontId="4" fillId="0" borderId="2" xfId="0" applyFont="1" applyBorder="1"/>
    <xf numFmtId="0" fontId="3" fillId="2" borderId="4" xfId="0" applyFont="1" applyFill="1" applyBorder="1"/>
    <xf numFmtId="0" fontId="3" fillId="4" borderId="4" xfId="0" applyFont="1" applyFill="1" applyBorder="1"/>
    <xf numFmtId="0" fontId="4" fillId="7" borderId="4" xfId="0" applyFont="1" applyFill="1" applyBorder="1"/>
    <xf numFmtId="0" fontId="0" fillId="2" borderId="0" xfId="0" applyFill="1"/>
    <xf numFmtId="0" fontId="3" fillId="8" borderId="1" xfId="0" applyFont="1" applyFill="1" applyBorder="1"/>
    <xf numFmtId="0" fontId="4" fillId="10" borderId="2" xfId="0" applyFont="1" applyFill="1" applyBorder="1"/>
    <xf numFmtId="0" fontId="3" fillId="9" borderId="1" xfId="0" applyFont="1" applyFill="1" applyBorder="1"/>
    <xf numFmtId="0" fontId="3" fillId="0" borderId="4" xfId="0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"/>
  <sheetViews>
    <sheetView tabSelected="1" zoomScale="145" zoomScaleNormal="145" workbookViewId="0">
      <selection activeCell="J16" sqref="A1:XFD1048576"/>
    </sheetView>
  </sheetViews>
  <sheetFormatPr baseColWidth="10" defaultColWidth="8.83203125" defaultRowHeight="15" x14ac:dyDescent="0.2"/>
  <cols>
    <col min="1" max="1" width="9" style="1"/>
    <col min="2" max="7" width="12.83203125" style="1" customWidth="1"/>
    <col min="8" max="8" width="9" style="1"/>
  </cols>
  <sheetData>
    <row r="1" spans="1:7" x14ac:dyDescent="0.2">
      <c r="A1" s="2" t="s">
        <v>7</v>
      </c>
      <c r="B1" s="2"/>
      <c r="C1" s="2"/>
      <c r="D1" s="2"/>
      <c r="E1" s="2"/>
    </row>
    <row r="2" spans="1:7" x14ac:dyDescent="0.2">
      <c r="A2" s="2" t="s">
        <v>8</v>
      </c>
      <c r="B2" s="2"/>
      <c r="C2" s="2"/>
      <c r="D2" s="2"/>
      <c r="E2" s="2"/>
    </row>
    <row r="6" spans="1:7" x14ac:dyDescent="0.2">
      <c r="A6" s="1" t="s">
        <v>0</v>
      </c>
    </row>
    <row r="7" spans="1:7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7" x14ac:dyDescent="0.2">
      <c r="A8" s="1">
        <v>199601</v>
      </c>
      <c r="B8" s="1">
        <v>-1.08</v>
      </c>
      <c r="C8" s="1">
        <v>7.2</v>
      </c>
      <c r="D8" s="1">
        <v>2.08</v>
      </c>
      <c r="E8" s="1">
        <v>2.02</v>
      </c>
      <c r="F8" s="1">
        <v>4.09</v>
      </c>
      <c r="G8" s="1">
        <v>3.11</v>
      </c>
    </row>
    <row r="9" spans="1:7" x14ac:dyDescent="0.2">
      <c r="A9" s="1">
        <v>199602</v>
      </c>
      <c r="B9" s="1">
        <v>8.4</v>
      </c>
      <c r="C9" s="1">
        <v>1.4</v>
      </c>
      <c r="D9" s="1">
        <v>3.33</v>
      </c>
      <c r="E9" s="1">
        <v>-2.29</v>
      </c>
      <c r="F9" s="1">
        <v>2.46</v>
      </c>
      <c r="G9" s="1">
        <v>1.19</v>
      </c>
    </row>
    <row r="10" spans="1:7" x14ac:dyDescent="0.2">
      <c r="A10" s="1">
        <v>199603</v>
      </c>
      <c r="B10" s="1">
        <v>-1.56</v>
      </c>
      <c r="C10" s="1">
        <v>1.7</v>
      </c>
      <c r="D10" s="1">
        <v>1.95</v>
      </c>
      <c r="E10" s="1">
        <v>-2.06</v>
      </c>
      <c r="F10" s="1">
        <v>2.94</v>
      </c>
      <c r="G10" s="1">
        <v>-2.62</v>
      </c>
    </row>
    <row r="11" spans="1:7" x14ac:dyDescent="0.2">
      <c r="A11" s="1">
        <v>199604</v>
      </c>
      <c r="B11" s="1">
        <v>5.94</v>
      </c>
      <c r="C11" s="1">
        <v>0.8</v>
      </c>
      <c r="D11" s="1">
        <v>3.32</v>
      </c>
      <c r="E11" s="1">
        <v>2.3199999999999998</v>
      </c>
      <c r="F11" s="1">
        <v>-1.54</v>
      </c>
      <c r="G11" s="1">
        <v>-1.38</v>
      </c>
    </row>
    <row r="12" spans="1:7" x14ac:dyDescent="0.2">
      <c r="A12" s="1">
        <v>199605</v>
      </c>
      <c r="B12" s="1">
        <v>-1.99</v>
      </c>
      <c r="C12" s="1">
        <v>1.53</v>
      </c>
      <c r="D12" s="1">
        <v>0.82</v>
      </c>
      <c r="E12" s="1">
        <v>-0.04</v>
      </c>
      <c r="F12" s="1">
        <v>1.79</v>
      </c>
      <c r="G12" s="1">
        <v>0.04</v>
      </c>
    </row>
    <row r="13" spans="1:7" x14ac:dyDescent="0.2">
      <c r="A13" s="1">
        <v>199606</v>
      </c>
      <c r="B13" s="1">
        <v>-0.66</v>
      </c>
      <c r="C13" s="1">
        <v>-2</v>
      </c>
      <c r="D13" s="1">
        <v>-4.99</v>
      </c>
      <c r="E13" s="1">
        <v>0.23</v>
      </c>
      <c r="F13" s="1">
        <v>-0.32</v>
      </c>
      <c r="G13" s="1">
        <v>1.38</v>
      </c>
    </row>
    <row r="14" spans="1:7" x14ac:dyDescent="0.2">
      <c r="A14" s="1">
        <v>199607</v>
      </c>
      <c r="B14" s="1">
        <v>-4.97</v>
      </c>
      <c r="C14" s="1">
        <v>-9.65</v>
      </c>
      <c r="D14" s="1">
        <v>-8.41</v>
      </c>
      <c r="E14" s="1">
        <v>-8.86</v>
      </c>
      <c r="F14" s="1">
        <v>-0.7</v>
      </c>
      <c r="G14" s="1">
        <v>-5.26</v>
      </c>
    </row>
    <row r="15" spans="1:7" x14ac:dyDescent="0.2">
      <c r="A15" s="1">
        <v>199608</v>
      </c>
      <c r="B15" s="1">
        <v>3.03</v>
      </c>
      <c r="C15" s="1">
        <v>7.03</v>
      </c>
      <c r="D15" s="1">
        <v>4.45</v>
      </c>
      <c r="E15" s="1">
        <v>-1.02</v>
      </c>
      <c r="F15" s="1">
        <v>4.21</v>
      </c>
      <c r="G15" s="1">
        <v>3.83</v>
      </c>
    </row>
    <row r="16" spans="1:7" x14ac:dyDescent="0.2">
      <c r="A16" s="1">
        <v>199609</v>
      </c>
      <c r="B16" s="1">
        <v>3.98</v>
      </c>
      <c r="C16" s="1">
        <v>3.3</v>
      </c>
      <c r="D16" s="1">
        <v>6.32</v>
      </c>
      <c r="E16" s="1">
        <v>1.3</v>
      </c>
      <c r="F16" s="1">
        <v>6.21</v>
      </c>
      <c r="G16" s="1">
        <v>4.8899999999999997</v>
      </c>
    </row>
    <row r="17" spans="1:7" x14ac:dyDescent="0.2">
      <c r="A17" s="1">
        <v>199610</v>
      </c>
      <c r="B17" s="1">
        <v>5.84</v>
      </c>
      <c r="C17" s="1">
        <v>-6.86</v>
      </c>
      <c r="D17" s="1">
        <v>-1.45</v>
      </c>
      <c r="E17" s="1">
        <v>-1.07</v>
      </c>
      <c r="F17" s="1">
        <v>6.96</v>
      </c>
      <c r="G17" s="1">
        <v>3.52</v>
      </c>
    </row>
    <row r="18" spans="1:7" x14ac:dyDescent="0.2">
      <c r="A18" s="1">
        <v>199611</v>
      </c>
      <c r="B18" s="1">
        <v>1.08</v>
      </c>
      <c r="C18" s="1">
        <v>5.51</v>
      </c>
      <c r="D18" s="1">
        <v>8.66</v>
      </c>
      <c r="E18" s="1">
        <v>5.55</v>
      </c>
      <c r="F18" s="1">
        <v>9.19</v>
      </c>
      <c r="G18" s="1">
        <v>7.12</v>
      </c>
    </row>
    <row r="19" spans="1:7" x14ac:dyDescent="0.2">
      <c r="A19" s="1">
        <v>199612</v>
      </c>
      <c r="B19" s="1">
        <v>0.22</v>
      </c>
      <c r="C19" s="1">
        <v>2.72</v>
      </c>
      <c r="D19" s="1">
        <v>-1.1299999999999999</v>
      </c>
      <c r="E19" s="1">
        <v>2.35</v>
      </c>
      <c r="F19" s="1">
        <v>-3.66</v>
      </c>
      <c r="G19" s="1">
        <v>0.23</v>
      </c>
    </row>
    <row r="20" spans="1:7" x14ac:dyDescent="0.2">
      <c r="A20" s="1">
        <v>199701</v>
      </c>
      <c r="B20" s="1">
        <v>4.74</v>
      </c>
      <c r="C20" s="1">
        <v>2.48</v>
      </c>
      <c r="D20" s="1">
        <v>5.26</v>
      </c>
      <c r="E20" s="1">
        <v>2.04</v>
      </c>
      <c r="F20" s="1">
        <v>7.63</v>
      </c>
      <c r="G20" s="1">
        <v>4.75</v>
      </c>
    </row>
    <row r="21" spans="1:7" x14ac:dyDescent="0.2">
      <c r="A21" s="1">
        <v>199702</v>
      </c>
      <c r="B21" s="1">
        <v>0.45</v>
      </c>
      <c r="C21" s="1">
        <v>2.1</v>
      </c>
      <c r="D21" s="1">
        <v>-1.9</v>
      </c>
      <c r="E21" s="1">
        <v>2.1800000000000002</v>
      </c>
      <c r="F21" s="1">
        <v>3.98</v>
      </c>
      <c r="G21" s="1">
        <v>2.9</v>
      </c>
    </row>
    <row r="22" spans="1:7" x14ac:dyDescent="0.2">
      <c r="A22" s="1">
        <v>199703</v>
      </c>
      <c r="B22" s="1">
        <v>-5.98</v>
      </c>
      <c r="C22" s="1">
        <v>-11.45</v>
      </c>
      <c r="D22" s="1">
        <v>-2.12</v>
      </c>
      <c r="E22" s="1">
        <v>-7.92</v>
      </c>
      <c r="F22" s="1">
        <v>-8.0500000000000007</v>
      </c>
      <c r="G22" s="1">
        <v>-4.46</v>
      </c>
    </row>
    <row r="23" spans="1:7" x14ac:dyDescent="0.2">
      <c r="A23" s="1">
        <v>199704</v>
      </c>
      <c r="B23" s="1">
        <v>6.64</v>
      </c>
      <c r="C23" s="1">
        <v>1.67</v>
      </c>
      <c r="D23" s="1">
        <v>4.13</v>
      </c>
      <c r="E23" s="1">
        <v>2.27</v>
      </c>
      <c r="F23" s="1">
        <v>6.45</v>
      </c>
      <c r="G23" s="1">
        <v>5.85</v>
      </c>
    </row>
    <row r="24" spans="1:7" x14ac:dyDescent="0.2">
      <c r="A24" s="1">
        <v>199705</v>
      </c>
      <c r="B24" s="1">
        <v>4.8499999999999996</v>
      </c>
      <c r="C24" s="1">
        <v>9.49</v>
      </c>
      <c r="D24" s="1">
        <v>12.24</v>
      </c>
      <c r="E24" s="1">
        <v>6.54</v>
      </c>
      <c r="F24" s="1">
        <v>4.13</v>
      </c>
      <c r="G24" s="1">
        <v>7.75</v>
      </c>
    </row>
    <row r="25" spans="1:7" x14ac:dyDescent="0.2">
      <c r="A25" s="1">
        <v>199706</v>
      </c>
      <c r="B25" s="1">
        <v>8.7899999999999991</v>
      </c>
      <c r="C25" s="1">
        <v>7.44</v>
      </c>
      <c r="D25" s="1">
        <v>6.09</v>
      </c>
      <c r="E25" s="1">
        <v>3.51</v>
      </c>
      <c r="F25" s="1">
        <v>5.55</v>
      </c>
      <c r="G25" s="1">
        <v>6.44</v>
      </c>
    </row>
    <row r="26" spans="1:7" x14ac:dyDescent="0.2">
      <c r="A26" s="1">
        <v>199707</v>
      </c>
      <c r="B26" s="1">
        <v>-1.96</v>
      </c>
      <c r="C26" s="1">
        <v>-3.49</v>
      </c>
      <c r="D26" s="1">
        <v>9.77</v>
      </c>
      <c r="E26" s="1">
        <v>2.4700000000000002</v>
      </c>
      <c r="F26" s="1">
        <v>11.83</v>
      </c>
      <c r="G26" s="1">
        <v>8.08</v>
      </c>
    </row>
    <row r="27" spans="1:7" x14ac:dyDescent="0.2">
      <c r="A27" s="1">
        <v>199708</v>
      </c>
      <c r="B27" s="1">
        <v>8.3000000000000007</v>
      </c>
      <c r="C27" s="1">
        <v>-2.19</v>
      </c>
      <c r="D27" s="1">
        <v>0.95</v>
      </c>
      <c r="E27" s="1">
        <v>-2.37</v>
      </c>
      <c r="F27" s="1">
        <v>-5.49</v>
      </c>
      <c r="G27" s="1">
        <v>-7.05</v>
      </c>
    </row>
    <row r="28" spans="1:7" x14ac:dyDescent="0.2">
      <c r="A28" s="1">
        <v>199709</v>
      </c>
      <c r="B28" s="1">
        <v>6.73</v>
      </c>
      <c r="C28" s="1">
        <v>2.5</v>
      </c>
      <c r="D28" s="1">
        <v>0.74</v>
      </c>
      <c r="E28" s="1">
        <v>9.4600000000000009</v>
      </c>
      <c r="F28" s="1">
        <v>7.55</v>
      </c>
      <c r="G28" s="1">
        <v>6.38</v>
      </c>
    </row>
    <row r="29" spans="1:7" x14ac:dyDescent="0.2">
      <c r="A29" s="1">
        <v>199710</v>
      </c>
      <c r="B29" s="1">
        <v>-2.06</v>
      </c>
      <c r="C29" s="1">
        <v>-1.54</v>
      </c>
      <c r="D29" s="1">
        <v>-8.8000000000000007</v>
      </c>
      <c r="E29" s="1">
        <v>3.11</v>
      </c>
      <c r="F29" s="1">
        <v>-1.1599999999999999</v>
      </c>
      <c r="G29" s="1">
        <v>-3.35</v>
      </c>
    </row>
    <row r="30" spans="1:7" x14ac:dyDescent="0.2">
      <c r="A30" s="1">
        <v>199711</v>
      </c>
      <c r="B30" s="1">
        <v>6.49</v>
      </c>
      <c r="C30" s="1">
        <v>0.9</v>
      </c>
      <c r="D30" s="1">
        <v>-2.8</v>
      </c>
      <c r="E30" s="1">
        <v>10.17</v>
      </c>
      <c r="F30" s="1">
        <v>3.69</v>
      </c>
      <c r="G30" s="1">
        <v>2.64</v>
      </c>
    </row>
    <row r="31" spans="1:7" x14ac:dyDescent="0.2">
      <c r="A31" s="1">
        <v>199712</v>
      </c>
      <c r="B31" s="1">
        <v>2.0699999999999998</v>
      </c>
      <c r="C31" s="1">
        <v>1.1599999999999999</v>
      </c>
      <c r="D31" s="1">
        <v>-1.05</v>
      </c>
      <c r="E31" s="1">
        <v>4.3899999999999997</v>
      </c>
      <c r="F31" s="1">
        <v>6</v>
      </c>
      <c r="G31" s="1">
        <v>5.35</v>
      </c>
    </row>
    <row r="32" spans="1:7" x14ac:dyDescent="0.2">
      <c r="A32" s="1">
        <v>199801</v>
      </c>
      <c r="B32" s="1">
        <v>-6.29</v>
      </c>
      <c r="C32" s="1">
        <v>-9.6999999999999993</v>
      </c>
      <c r="D32" s="1">
        <v>-2.72</v>
      </c>
      <c r="E32" s="1">
        <v>4.6500000000000004</v>
      </c>
      <c r="F32" s="1">
        <v>-3.83</v>
      </c>
      <c r="G32" s="1">
        <v>-0.75</v>
      </c>
    </row>
    <row r="33" spans="1:7" x14ac:dyDescent="0.2">
      <c r="A33" s="1">
        <v>199802</v>
      </c>
      <c r="B33" s="1">
        <v>14.72</v>
      </c>
      <c r="C33" s="1">
        <v>10.54</v>
      </c>
      <c r="D33" s="1">
        <v>10.99</v>
      </c>
      <c r="E33" s="1">
        <v>2.54</v>
      </c>
      <c r="F33" s="1">
        <v>8.6199999999999992</v>
      </c>
      <c r="G33" s="1">
        <v>8.51</v>
      </c>
    </row>
    <row r="34" spans="1:7" x14ac:dyDescent="0.2">
      <c r="A34" s="1">
        <v>199803</v>
      </c>
      <c r="B34" s="1">
        <v>-0.72</v>
      </c>
      <c r="C34" s="1">
        <v>5.44</v>
      </c>
      <c r="D34" s="1">
        <v>2.59</v>
      </c>
      <c r="E34" s="1">
        <v>9.66</v>
      </c>
      <c r="F34" s="1">
        <v>5.72</v>
      </c>
      <c r="G34" s="1">
        <v>5.24</v>
      </c>
    </row>
    <row r="35" spans="1:7" x14ac:dyDescent="0.2">
      <c r="A35" s="1">
        <v>199804</v>
      </c>
      <c r="B35" s="1">
        <v>5.64</v>
      </c>
      <c r="C35" s="1">
        <v>1.99</v>
      </c>
      <c r="D35" s="1">
        <v>1.53</v>
      </c>
      <c r="E35" s="1">
        <v>-3.19</v>
      </c>
      <c r="F35" s="1">
        <v>1.63</v>
      </c>
      <c r="G35" s="1">
        <v>1.45</v>
      </c>
    </row>
    <row r="36" spans="1:7" x14ac:dyDescent="0.2">
      <c r="A36" s="1">
        <v>199805</v>
      </c>
      <c r="B36" s="1">
        <v>5.22</v>
      </c>
      <c r="C36" s="1">
        <v>-6.3</v>
      </c>
      <c r="D36" s="1">
        <v>-6.28</v>
      </c>
      <c r="E36" s="1">
        <v>-1.71</v>
      </c>
      <c r="F36" s="1">
        <v>-2.87</v>
      </c>
      <c r="G36" s="1">
        <v>-1.63</v>
      </c>
    </row>
    <row r="37" spans="1:7" x14ac:dyDescent="0.2">
      <c r="A37" s="1">
        <v>199806</v>
      </c>
      <c r="B37" s="1">
        <v>5.13</v>
      </c>
      <c r="C37" s="1">
        <v>-4.13</v>
      </c>
      <c r="D37" s="1">
        <v>-5.99</v>
      </c>
      <c r="E37" s="1">
        <v>3.06</v>
      </c>
      <c r="F37" s="1">
        <v>2.59</v>
      </c>
      <c r="G37" s="1">
        <v>4.51</v>
      </c>
    </row>
    <row r="38" spans="1:7" x14ac:dyDescent="0.2">
      <c r="A38" s="1">
        <v>199807</v>
      </c>
      <c r="B38" s="1">
        <v>-13.81</v>
      </c>
      <c r="C38" s="1">
        <v>-7.91</v>
      </c>
      <c r="D38" s="1">
        <v>-9.89</v>
      </c>
      <c r="E38" s="1">
        <v>3.59</v>
      </c>
      <c r="F38" s="1">
        <v>0.74</v>
      </c>
      <c r="G38" s="1">
        <v>-4.3</v>
      </c>
    </row>
    <row r="39" spans="1:7" x14ac:dyDescent="0.2">
      <c r="A39" s="1">
        <v>199808</v>
      </c>
      <c r="B39" s="1">
        <v>-2.36</v>
      </c>
      <c r="C39" s="1">
        <v>-22.77</v>
      </c>
      <c r="D39" s="1">
        <v>-19.18</v>
      </c>
      <c r="E39" s="1">
        <v>-11.87</v>
      </c>
      <c r="F39" s="1">
        <v>-24.29</v>
      </c>
      <c r="G39" s="1">
        <v>-16.18</v>
      </c>
    </row>
    <row r="40" spans="1:7" x14ac:dyDescent="0.2">
      <c r="A40" s="1">
        <v>199809</v>
      </c>
      <c r="B40" s="1">
        <v>-8.64</v>
      </c>
      <c r="C40" s="1">
        <v>-4.3600000000000003</v>
      </c>
      <c r="D40" s="1">
        <v>1.35</v>
      </c>
      <c r="E40" s="1">
        <v>10</v>
      </c>
      <c r="F40" s="1">
        <v>3.61</v>
      </c>
      <c r="G40" s="1">
        <v>2.59</v>
      </c>
    </row>
    <row r="41" spans="1:7" x14ac:dyDescent="0.2">
      <c r="A41" s="1">
        <v>199810</v>
      </c>
      <c r="B41" s="1">
        <v>-2.2799999999999998</v>
      </c>
      <c r="C41" s="1">
        <v>3.44</v>
      </c>
      <c r="D41" s="1">
        <v>13.36</v>
      </c>
      <c r="E41" s="1">
        <v>6.51</v>
      </c>
      <c r="F41" s="1">
        <v>10.36</v>
      </c>
      <c r="G41" s="1">
        <v>6.68</v>
      </c>
    </row>
    <row r="42" spans="1:7" x14ac:dyDescent="0.2">
      <c r="A42" s="1">
        <v>199811</v>
      </c>
      <c r="B42" s="1">
        <v>7.12</v>
      </c>
      <c r="C42" s="1">
        <v>7.36</v>
      </c>
      <c r="D42" s="1">
        <v>3.88</v>
      </c>
      <c r="E42" s="1">
        <v>3.63</v>
      </c>
      <c r="F42" s="1">
        <v>5.65</v>
      </c>
      <c r="G42" s="1">
        <v>5.62</v>
      </c>
    </row>
    <row r="43" spans="1:7" x14ac:dyDescent="0.2">
      <c r="A43" s="1">
        <v>199812</v>
      </c>
      <c r="B43" s="1">
        <v>-7.38</v>
      </c>
      <c r="C43" s="1">
        <v>1.63</v>
      </c>
      <c r="D43" s="1">
        <v>-0.3</v>
      </c>
      <c r="E43" s="1">
        <v>14.22</v>
      </c>
      <c r="F43" s="1">
        <v>3.99</v>
      </c>
      <c r="G43" s="1">
        <v>1.77</v>
      </c>
    </row>
    <row r="44" spans="1:7" x14ac:dyDescent="0.2">
      <c r="A44" s="1">
        <v>199901</v>
      </c>
      <c r="B44" s="1">
        <v>2.4300000000000002</v>
      </c>
      <c r="C44" s="1">
        <v>-17.07</v>
      </c>
      <c r="D44" s="1">
        <v>5.23</v>
      </c>
      <c r="E44" s="1">
        <v>8.5399999999999991</v>
      </c>
      <c r="F44" s="1">
        <v>-0.37</v>
      </c>
      <c r="G44" s="1">
        <v>-2.68</v>
      </c>
    </row>
    <row r="45" spans="1:7" x14ac:dyDescent="0.2">
      <c r="A45" s="1">
        <v>199902</v>
      </c>
      <c r="B45" s="1">
        <v>-11.62</v>
      </c>
      <c r="C45" s="1">
        <v>-10.36</v>
      </c>
      <c r="D45" s="1">
        <v>-3.07</v>
      </c>
      <c r="E45" s="1">
        <v>-2.96</v>
      </c>
      <c r="F45" s="1">
        <v>-0.59</v>
      </c>
      <c r="G45" s="1">
        <v>2.89</v>
      </c>
    </row>
    <row r="46" spans="1:7" x14ac:dyDescent="0.2">
      <c r="A46" s="1">
        <v>199903</v>
      </c>
      <c r="B46" s="1">
        <v>28.66</v>
      </c>
      <c r="C46" s="1">
        <v>-2.2000000000000002</v>
      </c>
      <c r="D46" s="1">
        <v>2.02</v>
      </c>
      <c r="E46" s="1">
        <v>-0.76</v>
      </c>
      <c r="F46" s="1">
        <v>1.68</v>
      </c>
      <c r="G46" s="1">
        <v>2.31</v>
      </c>
    </row>
    <row r="47" spans="1:7" x14ac:dyDescent="0.2">
      <c r="A47" s="1">
        <v>199904</v>
      </c>
      <c r="B47" s="1">
        <v>2.58</v>
      </c>
      <c r="C47" s="1">
        <v>20.09</v>
      </c>
      <c r="D47" s="1">
        <v>15.99</v>
      </c>
      <c r="E47" s="1">
        <v>8.08</v>
      </c>
      <c r="F47" s="1">
        <v>8.02</v>
      </c>
      <c r="G47" s="1">
        <v>1.85</v>
      </c>
    </row>
    <row r="48" spans="1:7" x14ac:dyDescent="0.2">
      <c r="A48" s="1">
        <v>199905</v>
      </c>
      <c r="B48" s="1">
        <v>-1.27</v>
      </c>
      <c r="C48" s="1">
        <v>2.62</v>
      </c>
      <c r="D48" s="1">
        <v>-2.06</v>
      </c>
      <c r="E48" s="1">
        <v>1</v>
      </c>
      <c r="F48" s="1">
        <v>-6.24</v>
      </c>
      <c r="G48" s="1">
        <v>0.57999999999999996</v>
      </c>
    </row>
    <row r="49" spans="1:7" x14ac:dyDescent="0.2">
      <c r="A49" s="1">
        <v>199906</v>
      </c>
      <c r="B49" s="1">
        <v>2.5299999999999998</v>
      </c>
      <c r="C49" s="1">
        <v>-3.93</v>
      </c>
      <c r="D49" s="1">
        <v>9.19</v>
      </c>
      <c r="E49" s="1">
        <v>5.77</v>
      </c>
      <c r="F49" s="1">
        <v>4.3099999999999996</v>
      </c>
      <c r="G49" s="1">
        <v>-0.04</v>
      </c>
    </row>
    <row r="50" spans="1:7" x14ac:dyDescent="0.2">
      <c r="A50" s="1">
        <v>199907</v>
      </c>
      <c r="B50" s="1">
        <v>-2.84</v>
      </c>
      <c r="C50" s="1">
        <v>-8</v>
      </c>
      <c r="D50" s="1">
        <v>-0.16</v>
      </c>
      <c r="E50" s="1">
        <v>-1.78</v>
      </c>
      <c r="F50" s="1">
        <v>-5.78</v>
      </c>
      <c r="G50" s="1">
        <v>-2.5499999999999998</v>
      </c>
    </row>
    <row r="51" spans="1:7" x14ac:dyDescent="0.2">
      <c r="A51" s="1">
        <v>199908</v>
      </c>
      <c r="B51" s="1">
        <v>-2.68</v>
      </c>
      <c r="C51" s="1">
        <v>-3.96</v>
      </c>
      <c r="D51" s="1">
        <v>-0.09</v>
      </c>
      <c r="E51" s="1">
        <v>-7.59</v>
      </c>
      <c r="F51" s="1">
        <v>-5.2</v>
      </c>
      <c r="G51" s="1">
        <v>-5.55</v>
      </c>
    </row>
    <row r="52" spans="1:7" x14ac:dyDescent="0.2">
      <c r="A52" s="1">
        <v>199909</v>
      </c>
      <c r="B52" s="1">
        <v>0.57999999999999996</v>
      </c>
      <c r="C52" s="1">
        <v>-9.3800000000000008</v>
      </c>
      <c r="D52" s="1">
        <v>-0.28999999999999998</v>
      </c>
      <c r="E52" s="1">
        <v>4.26</v>
      </c>
      <c r="F52" s="1">
        <v>-3.78</v>
      </c>
      <c r="G52" s="1">
        <v>-10.55</v>
      </c>
    </row>
    <row r="53" spans="1:7" x14ac:dyDescent="0.2">
      <c r="A53" s="1">
        <v>199910</v>
      </c>
      <c r="B53" s="1">
        <v>-3.65</v>
      </c>
      <c r="C53" s="1">
        <v>3.3</v>
      </c>
      <c r="D53" s="1">
        <v>-5.59</v>
      </c>
      <c r="E53" s="1">
        <v>9.4</v>
      </c>
      <c r="F53" s="1">
        <v>14.88</v>
      </c>
      <c r="G53" s="1">
        <v>12.81</v>
      </c>
    </row>
    <row r="54" spans="1:7" x14ac:dyDescent="0.2">
      <c r="A54" s="1">
        <v>199911</v>
      </c>
      <c r="B54" s="1">
        <v>-10.16</v>
      </c>
      <c r="C54" s="1">
        <v>11.16</v>
      </c>
      <c r="D54" s="1">
        <v>0.08</v>
      </c>
      <c r="E54" s="1">
        <v>4.3</v>
      </c>
      <c r="F54" s="1">
        <v>-5.79</v>
      </c>
      <c r="G54" s="1">
        <v>-3.29</v>
      </c>
    </row>
    <row r="55" spans="1:7" x14ac:dyDescent="0.2">
      <c r="A55" s="1">
        <v>199912</v>
      </c>
      <c r="B55" s="1">
        <v>-4.6399999999999997</v>
      </c>
      <c r="C55" s="1">
        <v>6.16</v>
      </c>
      <c r="D55" s="1">
        <v>7.3</v>
      </c>
      <c r="E55" s="1">
        <v>4.1399999999999997</v>
      </c>
      <c r="F55" s="1">
        <v>-5.42</v>
      </c>
      <c r="G55" s="1">
        <v>1.66</v>
      </c>
    </row>
    <row r="56" spans="1:7" x14ac:dyDescent="0.2">
      <c r="A56" s="1">
        <v>200001</v>
      </c>
      <c r="B56" s="1">
        <v>-4.5199999999999996</v>
      </c>
      <c r="C56" s="1">
        <v>-0.21</v>
      </c>
      <c r="D56" s="1">
        <v>2.2400000000000002</v>
      </c>
      <c r="E56" s="1">
        <v>-4.12</v>
      </c>
      <c r="F56" s="1">
        <v>-2.7</v>
      </c>
      <c r="G56" s="1">
        <v>-7.34</v>
      </c>
    </row>
    <row r="57" spans="1:7" x14ac:dyDescent="0.2">
      <c r="A57" s="1">
        <v>200002</v>
      </c>
      <c r="B57" s="1">
        <v>8.1300000000000008</v>
      </c>
      <c r="C57" s="1">
        <v>-19.2</v>
      </c>
      <c r="D57" s="1">
        <v>3.16</v>
      </c>
      <c r="E57" s="1">
        <v>-3.52</v>
      </c>
      <c r="F57" s="1">
        <v>-11.51</v>
      </c>
      <c r="G57" s="1">
        <v>-12.89</v>
      </c>
    </row>
    <row r="58" spans="1:7" x14ac:dyDescent="0.2">
      <c r="A58" s="1">
        <v>200003</v>
      </c>
      <c r="B58" s="1">
        <v>4.1100000000000003</v>
      </c>
      <c r="C58" s="1">
        <v>21.13</v>
      </c>
      <c r="D58" s="1">
        <v>11.82</v>
      </c>
      <c r="E58" s="1">
        <v>7.47</v>
      </c>
      <c r="F58" s="1">
        <v>14.79</v>
      </c>
      <c r="G58" s="1">
        <v>22.76</v>
      </c>
    </row>
    <row r="59" spans="1:7" x14ac:dyDescent="0.2">
      <c r="A59" s="1">
        <v>200004</v>
      </c>
      <c r="B59" s="1">
        <v>-7.61</v>
      </c>
      <c r="C59" s="1">
        <v>8.9499999999999993</v>
      </c>
      <c r="D59" s="1">
        <v>1.45</v>
      </c>
      <c r="E59" s="1">
        <v>-8.0299999999999994</v>
      </c>
      <c r="F59" s="1">
        <v>-3.06</v>
      </c>
      <c r="G59" s="1">
        <v>-0.49</v>
      </c>
    </row>
    <row r="60" spans="1:7" x14ac:dyDescent="0.2">
      <c r="A60" s="1">
        <v>200005</v>
      </c>
      <c r="B60" s="1">
        <v>-2.68</v>
      </c>
      <c r="C60" s="1">
        <v>-5.96</v>
      </c>
      <c r="D60" s="1">
        <v>-7.16</v>
      </c>
      <c r="E60" s="1">
        <v>-10.49</v>
      </c>
      <c r="F60" s="1">
        <v>7.71</v>
      </c>
      <c r="G60" s="1">
        <v>7.18</v>
      </c>
    </row>
    <row r="61" spans="1:7" x14ac:dyDescent="0.2">
      <c r="A61" s="1">
        <v>200006</v>
      </c>
      <c r="B61" s="1">
        <v>-0.94</v>
      </c>
      <c r="C61" s="1">
        <v>10.46</v>
      </c>
      <c r="D61" s="1">
        <v>1.04</v>
      </c>
      <c r="E61" s="1">
        <v>4.13</v>
      </c>
      <c r="F61" s="1">
        <v>-10.029999999999999</v>
      </c>
      <c r="G61" s="1">
        <v>-2.5299999999999998</v>
      </c>
    </row>
    <row r="62" spans="1:7" x14ac:dyDescent="0.2">
      <c r="A62" s="1">
        <v>200007</v>
      </c>
      <c r="B62" s="1">
        <v>-3.48</v>
      </c>
      <c r="C62" s="1">
        <v>11.51</v>
      </c>
      <c r="D62" s="1">
        <v>-1.01</v>
      </c>
      <c r="E62" s="1">
        <v>-7.51</v>
      </c>
      <c r="F62" s="1">
        <v>8.23</v>
      </c>
      <c r="G62" s="1">
        <v>10.24</v>
      </c>
    </row>
    <row r="63" spans="1:7" x14ac:dyDescent="0.2">
      <c r="A63" s="1">
        <v>200008</v>
      </c>
      <c r="B63" s="1">
        <v>-2.0299999999999998</v>
      </c>
      <c r="C63" s="1">
        <v>6.77</v>
      </c>
      <c r="D63" s="1">
        <v>8.06</v>
      </c>
      <c r="E63" s="1">
        <v>-1.04</v>
      </c>
      <c r="F63" s="1">
        <v>9.92</v>
      </c>
      <c r="G63" s="1">
        <v>4.1500000000000004</v>
      </c>
    </row>
    <row r="64" spans="1:7" x14ac:dyDescent="0.2">
      <c r="A64" s="1">
        <v>200009</v>
      </c>
      <c r="B64" s="1">
        <v>4.87</v>
      </c>
      <c r="C64" s="1">
        <v>10.57</v>
      </c>
      <c r="D64" s="1">
        <v>-14.14</v>
      </c>
      <c r="E64" s="1">
        <v>-4.1100000000000003</v>
      </c>
      <c r="F64" s="1">
        <v>3.66</v>
      </c>
      <c r="G64" s="1">
        <v>6.9</v>
      </c>
    </row>
    <row r="65" spans="1:7" x14ac:dyDescent="0.2">
      <c r="A65" s="1">
        <v>200010</v>
      </c>
      <c r="B65" s="1">
        <v>-11.48</v>
      </c>
      <c r="C65" s="1">
        <v>6.23</v>
      </c>
      <c r="D65" s="1">
        <v>-0.05</v>
      </c>
      <c r="E65" s="1">
        <v>-0.54</v>
      </c>
      <c r="F65" s="1">
        <v>-1.24</v>
      </c>
      <c r="G65" s="1">
        <v>4.79</v>
      </c>
    </row>
    <row r="66" spans="1:7" x14ac:dyDescent="0.2">
      <c r="A66" s="1">
        <v>200011</v>
      </c>
      <c r="B66" s="1">
        <v>-1.81</v>
      </c>
      <c r="C66" s="1">
        <v>5.14</v>
      </c>
      <c r="D66" s="1">
        <v>-8.8699999999999992</v>
      </c>
      <c r="E66" s="1">
        <v>-15.58</v>
      </c>
      <c r="F66" s="1">
        <v>-3.82</v>
      </c>
      <c r="G66" s="1">
        <v>-1.24</v>
      </c>
    </row>
    <row r="67" spans="1:7" x14ac:dyDescent="0.2">
      <c r="A67" s="1">
        <v>200012</v>
      </c>
      <c r="B67" s="1">
        <v>12.14</v>
      </c>
      <c r="C67" s="1">
        <v>11.95</v>
      </c>
      <c r="D67" s="1">
        <v>7.91</v>
      </c>
      <c r="E67" s="1">
        <v>-4.3099999999999996</v>
      </c>
      <c r="F67" s="1">
        <v>9.86</v>
      </c>
      <c r="G67" s="1">
        <v>6.67</v>
      </c>
    </row>
    <row r="68" spans="1:7" x14ac:dyDescent="0.2">
      <c r="A68" s="1">
        <v>200101</v>
      </c>
      <c r="B68" s="1">
        <v>5.73</v>
      </c>
      <c r="C68" s="1">
        <v>-13.72</v>
      </c>
      <c r="D68" s="1">
        <v>10.99</v>
      </c>
      <c r="E68" s="1">
        <v>14.05</v>
      </c>
      <c r="F68" s="1">
        <v>1.77</v>
      </c>
      <c r="G68" s="1">
        <v>-10.47</v>
      </c>
    </row>
    <row r="69" spans="1:7" x14ac:dyDescent="0.2">
      <c r="A69" s="1">
        <v>200102</v>
      </c>
      <c r="B69" s="1">
        <v>-5.84</v>
      </c>
      <c r="C69" s="1">
        <v>6.2</v>
      </c>
      <c r="D69" s="1">
        <v>-10.039999999999999</v>
      </c>
      <c r="E69" s="1">
        <v>-9.9600000000000009</v>
      </c>
      <c r="F69" s="1">
        <v>-4.78</v>
      </c>
      <c r="G69" s="1">
        <v>-0.81</v>
      </c>
    </row>
    <row r="70" spans="1:7" x14ac:dyDescent="0.2">
      <c r="A70" s="1">
        <v>200103</v>
      </c>
      <c r="B70" s="1">
        <v>2.67</v>
      </c>
      <c r="C70" s="1">
        <v>-5.73</v>
      </c>
      <c r="D70" s="1">
        <v>-8.66</v>
      </c>
      <c r="E70" s="1">
        <v>-5.88</v>
      </c>
      <c r="F70" s="1">
        <v>-1.85</v>
      </c>
      <c r="G70" s="1">
        <v>-1.1100000000000001</v>
      </c>
    </row>
    <row r="71" spans="1:7" x14ac:dyDescent="0.2">
      <c r="A71" s="1">
        <v>200104</v>
      </c>
      <c r="B71" s="1">
        <v>-2.19</v>
      </c>
      <c r="C71" s="1">
        <v>4.22</v>
      </c>
      <c r="D71" s="1">
        <v>17.48</v>
      </c>
      <c r="E71" s="1">
        <v>2.44</v>
      </c>
      <c r="F71" s="1">
        <v>2.6</v>
      </c>
      <c r="G71" s="1">
        <v>2.69</v>
      </c>
    </row>
    <row r="72" spans="1:7" x14ac:dyDescent="0.2">
      <c r="A72" s="1">
        <v>200105</v>
      </c>
      <c r="B72" s="1">
        <v>8.1199999999999992</v>
      </c>
      <c r="C72" s="1">
        <v>1.94</v>
      </c>
      <c r="D72" s="1">
        <v>2.33</v>
      </c>
      <c r="E72" s="1">
        <v>-1.32</v>
      </c>
      <c r="F72" s="1">
        <v>4.2</v>
      </c>
      <c r="G72" s="1">
        <v>2.23</v>
      </c>
    </row>
    <row r="73" spans="1:7" x14ac:dyDescent="0.2">
      <c r="A73" s="1">
        <v>200106</v>
      </c>
      <c r="B73" s="1">
        <v>3.5</v>
      </c>
      <c r="C73" s="1">
        <v>14.94</v>
      </c>
      <c r="D73" s="1">
        <v>-4.8600000000000003</v>
      </c>
      <c r="E73" s="1">
        <v>-3.11</v>
      </c>
      <c r="F73" s="1">
        <v>0.71</v>
      </c>
      <c r="G73" s="1">
        <v>2.0499999999999998</v>
      </c>
    </row>
    <row r="74" spans="1:7" x14ac:dyDescent="0.2">
      <c r="A74" s="1">
        <v>200107</v>
      </c>
      <c r="B74" s="1">
        <v>-0.12</v>
      </c>
      <c r="C74" s="1">
        <v>2.31</v>
      </c>
      <c r="D74" s="1">
        <v>-2.6</v>
      </c>
      <c r="E74" s="1">
        <v>-0.95</v>
      </c>
      <c r="F74" s="1">
        <v>0.67</v>
      </c>
      <c r="G74" s="1">
        <v>-2.2400000000000002</v>
      </c>
    </row>
    <row r="75" spans="1:7" x14ac:dyDescent="0.2">
      <c r="A75" s="1">
        <v>200108</v>
      </c>
      <c r="B75" s="1">
        <v>5.78</v>
      </c>
      <c r="C75" s="1">
        <v>-1.97</v>
      </c>
      <c r="D75" s="1">
        <v>-5.4</v>
      </c>
      <c r="E75" s="1">
        <v>-9.26</v>
      </c>
      <c r="F75" s="1">
        <v>-6.24</v>
      </c>
      <c r="G75" s="1">
        <v>-3.93</v>
      </c>
    </row>
    <row r="76" spans="1:7" x14ac:dyDescent="0.2">
      <c r="A76" s="1">
        <v>200109</v>
      </c>
      <c r="B76" s="1">
        <v>-8.81</v>
      </c>
      <c r="C76" s="1">
        <v>-1.22</v>
      </c>
      <c r="D76" s="1">
        <v>-19.93</v>
      </c>
      <c r="E76" s="1">
        <v>-2.5099999999999998</v>
      </c>
      <c r="F76" s="1">
        <v>-6.29</v>
      </c>
      <c r="G76" s="1">
        <v>-0.82</v>
      </c>
    </row>
    <row r="77" spans="1:7" x14ac:dyDescent="0.2">
      <c r="A77" s="1">
        <v>200110</v>
      </c>
      <c r="B77" s="1">
        <v>-1.43</v>
      </c>
      <c r="C77" s="1">
        <v>-7.26</v>
      </c>
      <c r="D77" s="1">
        <v>10.7</v>
      </c>
      <c r="E77" s="1">
        <v>-9.68</v>
      </c>
      <c r="F77" s="1">
        <v>-1.78</v>
      </c>
      <c r="G77" s="1">
        <v>-3.54</v>
      </c>
    </row>
    <row r="78" spans="1:7" x14ac:dyDescent="0.2">
      <c r="A78" s="1">
        <v>200111</v>
      </c>
      <c r="B78" s="1">
        <v>6.16</v>
      </c>
      <c r="C78" s="1">
        <v>1.76</v>
      </c>
      <c r="D78" s="1">
        <v>7.73</v>
      </c>
      <c r="E78" s="1">
        <v>6.03</v>
      </c>
      <c r="F78" s="1">
        <v>6.04</v>
      </c>
      <c r="G78" s="1">
        <v>6.34</v>
      </c>
    </row>
    <row r="79" spans="1:7" x14ac:dyDescent="0.2">
      <c r="A79" s="1">
        <v>200112</v>
      </c>
      <c r="B79" s="1">
        <v>5.8</v>
      </c>
      <c r="C79" s="1">
        <v>1.7</v>
      </c>
      <c r="D79" s="1">
        <v>6.47</v>
      </c>
      <c r="E79" s="1">
        <v>2.64</v>
      </c>
      <c r="F79" s="1">
        <v>3.16</v>
      </c>
      <c r="G79" s="1">
        <v>0.55000000000000004</v>
      </c>
    </row>
    <row r="80" spans="1:7" x14ac:dyDescent="0.2">
      <c r="A80" s="1">
        <v>200201</v>
      </c>
      <c r="B80" s="1">
        <v>-0.86</v>
      </c>
      <c r="C80" s="1">
        <v>1</v>
      </c>
      <c r="D80" s="1">
        <v>2.12</v>
      </c>
      <c r="E80" s="1">
        <v>-7.48</v>
      </c>
      <c r="F80" s="1">
        <v>-0.81</v>
      </c>
      <c r="G80" s="1">
        <v>-1.74</v>
      </c>
    </row>
    <row r="81" spans="1:7" x14ac:dyDescent="0.2">
      <c r="A81" s="1">
        <v>200202</v>
      </c>
      <c r="B81" s="1">
        <v>-1.31</v>
      </c>
      <c r="C81" s="1">
        <v>-5.14</v>
      </c>
      <c r="D81" s="1">
        <v>3.75</v>
      </c>
      <c r="E81" s="1">
        <v>-2.41</v>
      </c>
      <c r="F81" s="1">
        <v>-1.56</v>
      </c>
      <c r="G81" s="1">
        <v>1.67</v>
      </c>
    </row>
    <row r="82" spans="1:7" x14ac:dyDescent="0.2">
      <c r="A82" s="1">
        <v>200203</v>
      </c>
      <c r="B82" s="1">
        <v>5.31</v>
      </c>
      <c r="C82" s="1">
        <v>12.99</v>
      </c>
      <c r="D82" s="1">
        <v>9.7200000000000006</v>
      </c>
      <c r="E82" s="1">
        <v>0.27</v>
      </c>
      <c r="F82" s="1">
        <v>7.87</v>
      </c>
      <c r="G82" s="1">
        <v>1.54</v>
      </c>
    </row>
    <row r="83" spans="1:7" x14ac:dyDescent="0.2">
      <c r="A83" s="1">
        <v>200204</v>
      </c>
      <c r="B83" s="1">
        <v>6.2</v>
      </c>
      <c r="C83" s="1">
        <v>8.44</v>
      </c>
      <c r="D83" s="1">
        <v>-2.72</v>
      </c>
      <c r="E83" s="1">
        <v>-13</v>
      </c>
      <c r="F83" s="1">
        <v>-0.81</v>
      </c>
      <c r="G83" s="1">
        <v>2.2799999999999998</v>
      </c>
    </row>
    <row r="84" spans="1:7" x14ac:dyDescent="0.2">
      <c r="A84" s="1">
        <v>200205</v>
      </c>
      <c r="B84" s="1">
        <v>3.34</v>
      </c>
      <c r="C84" s="1">
        <v>-0.6</v>
      </c>
      <c r="D84" s="1">
        <v>-4.32</v>
      </c>
      <c r="E84" s="1">
        <v>2.98</v>
      </c>
      <c r="F84" s="1">
        <v>0.69</v>
      </c>
      <c r="G84" s="1">
        <v>-2.25</v>
      </c>
    </row>
    <row r="85" spans="1:7" x14ac:dyDescent="0.2">
      <c r="A85" s="1">
        <v>200206</v>
      </c>
      <c r="B85" s="1">
        <v>-5.0199999999999996</v>
      </c>
      <c r="C85" s="1">
        <v>-4.75</v>
      </c>
      <c r="D85" s="1">
        <v>-7.71</v>
      </c>
      <c r="E85" s="1">
        <v>-14.45</v>
      </c>
      <c r="F85" s="1">
        <v>-5.57</v>
      </c>
      <c r="G85" s="1">
        <v>-2.9</v>
      </c>
    </row>
    <row r="86" spans="1:7" x14ac:dyDescent="0.2">
      <c r="A86" s="1">
        <v>200207</v>
      </c>
      <c r="B86" s="1">
        <v>-8.17</v>
      </c>
      <c r="C86" s="1">
        <v>-8.11</v>
      </c>
      <c r="D86" s="1">
        <v>-14.16</v>
      </c>
      <c r="E86" s="1">
        <v>-12.05</v>
      </c>
      <c r="F86" s="1">
        <v>-7.5</v>
      </c>
      <c r="G86" s="1">
        <v>-6.53</v>
      </c>
    </row>
    <row r="87" spans="1:7" x14ac:dyDescent="0.2">
      <c r="A87" s="1">
        <v>200208</v>
      </c>
      <c r="B87" s="1">
        <v>-5.89</v>
      </c>
      <c r="C87" s="1">
        <v>-3.81</v>
      </c>
      <c r="D87" s="1">
        <v>-0.86</v>
      </c>
      <c r="E87" s="1">
        <v>0.34</v>
      </c>
      <c r="F87" s="1">
        <v>2.99</v>
      </c>
      <c r="G87" s="1">
        <v>-1.46</v>
      </c>
    </row>
    <row r="88" spans="1:7" x14ac:dyDescent="0.2">
      <c r="A88" s="1">
        <v>200209</v>
      </c>
      <c r="B88" s="1">
        <v>-2.52</v>
      </c>
      <c r="C88" s="1">
        <v>2.2200000000000002</v>
      </c>
      <c r="D88" s="1">
        <v>-9.7899999999999991</v>
      </c>
      <c r="E88" s="1">
        <v>-9.39</v>
      </c>
      <c r="F88" s="1">
        <v>-11.23</v>
      </c>
      <c r="G88" s="1">
        <v>-9.49</v>
      </c>
    </row>
    <row r="89" spans="1:7" x14ac:dyDescent="0.2">
      <c r="A89" s="1">
        <v>200210</v>
      </c>
      <c r="B89" s="1">
        <v>-3.72</v>
      </c>
      <c r="C89" s="1">
        <v>-14.53</v>
      </c>
      <c r="D89" s="1">
        <v>10.029999999999999</v>
      </c>
      <c r="E89" s="1">
        <v>20.89</v>
      </c>
      <c r="F89" s="1">
        <v>7.83</v>
      </c>
      <c r="G89" s="1">
        <v>5.49</v>
      </c>
    </row>
    <row r="90" spans="1:7" x14ac:dyDescent="0.2">
      <c r="A90" s="1">
        <v>200211</v>
      </c>
      <c r="B90" s="1">
        <v>9.07</v>
      </c>
      <c r="C90" s="1">
        <v>-10.51</v>
      </c>
      <c r="D90" s="1">
        <v>12.13</v>
      </c>
      <c r="E90" s="1">
        <v>11.83</v>
      </c>
      <c r="F90" s="1">
        <v>2.2200000000000002</v>
      </c>
      <c r="G90" s="1">
        <v>2.35</v>
      </c>
    </row>
    <row r="91" spans="1:7" x14ac:dyDescent="0.2">
      <c r="A91" s="1">
        <v>200212</v>
      </c>
      <c r="B91" s="1">
        <v>-1.74</v>
      </c>
      <c r="C91" s="1">
        <v>-1.57</v>
      </c>
      <c r="D91" s="1">
        <v>-8.9499999999999993</v>
      </c>
      <c r="E91" s="1">
        <v>-9.2200000000000006</v>
      </c>
      <c r="F91" s="1">
        <v>-3.64</v>
      </c>
      <c r="G91" s="1">
        <v>-4.57</v>
      </c>
    </row>
    <row r="92" spans="1:7" x14ac:dyDescent="0.2">
      <c r="A92" s="1">
        <v>200301</v>
      </c>
      <c r="B92" s="1">
        <v>-2.08</v>
      </c>
      <c r="C92" s="1">
        <v>0.53</v>
      </c>
      <c r="D92" s="1">
        <v>-6.03</v>
      </c>
      <c r="E92" s="1">
        <v>-3.86</v>
      </c>
      <c r="F92" s="1">
        <v>-0.8</v>
      </c>
      <c r="G92" s="1">
        <v>-2.46</v>
      </c>
    </row>
    <row r="93" spans="1:7" x14ac:dyDescent="0.2">
      <c r="A93" s="1">
        <v>200302</v>
      </c>
      <c r="B93" s="1">
        <v>-5.32</v>
      </c>
      <c r="C93" s="1">
        <v>-3.58</v>
      </c>
      <c r="D93" s="1">
        <v>2.08</v>
      </c>
      <c r="E93" s="1">
        <v>-6.46</v>
      </c>
      <c r="F93" s="1">
        <v>-2.2400000000000002</v>
      </c>
      <c r="G93" s="1">
        <v>-5.9</v>
      </c>
    </row>
    <row r="94" spans="1:7" x14ac:dyDescent="0.2">
      <c r="A94" s="1">
        <v>200303</v>
      </c>
      <c r="B94" s="1">
        <v>4.6100000000000003</v>
      </c>
      <c r="C94" s="1">
        <v>2.1800000000000002</v>
      </c>
      <c r="D94" s="1">
        <v>-2.12</v>
      </c>
      <c r="E94" s="1">
        <v>-0.65</v>
      </c>
      <c r="F94" s="1">
        <v>-1.26</v>
      </c>
      <c r="G94" s="1">
        <v>1.8</v>
      </c>
    </row>
    <row r="95" spans="1:7" x14ac:dyDescent="0.2">
      <c r="A95" s="1">
        <v>200304</v>
      </c>
      <c r="B95" s="1">
        <v>-1.63</v>
      </c>
      <c r="C95" s="1">
        <v>-7.83</v>
      </c>
      <c r="D95" s="1">
        <v>8.6300000000000008</v>
      </c>
      <c r="E95" s="1">
        <v>10.7</v>
      </c>
      <c r="F95" s="1">
        <v>10.99</v>
      </c>
      <c r="G95" s="1">
        <v>10.75</v>
      </c>
    </row>
    <row r="96" spans="1:7" x14ac:dyDescent="0.2">
      <c r="A96" s="1">
        <v>200305</v>
      </c>
      <c r="B96" s="1">
        <v>11.9</v>
      </c>
      <c r="C96" s="1">
        <v>9.6199999999999992</v>
      </c>
      <c r="D96" s="1">
        <v>5.99</v>
      </c>
      <c r="E96" s="1">
        <v>6.22</v>
      </c>
      <c r="F96" s="1">
        <v>5.53</v>
      </c>
      <c r="G96" s="1">
        <v>4.1900000000000004</v>
      </c>
    </row>
    <row r="97" spans="1:7" x14ac:dyDescent="0.2">
      <c r="A97" s="1">
        <v>200306</v>
      </c>
      <c r="B97" s="1">
        <v>0.02</v>
      </c>
      <c r="C97" s="1">
        <v>-3.81</v>
      </c>
      <c r="D97" s="1">
        <v>2.41</v>
      </c>
      <c r="E97" s="1">
        <v>1.87</v>
      </c>
      <c r="F97" s="1">
        <v>0.73</v>
      </c>
      <c r="G97" s="1">
        <v>-0.83</v>
      </c>
    </row>
    <row r="98" spans="1:7" x14ac:dyDescent="0.2">
      <c r="A98" s="1">
        <v>200307</v>
      </c>
      <c r="B98" s="1">
        <v>1.38</v>
      </c>
      <c r="C98" s="1">
        <v>10.62</v>
      </c>
      <c r="D98" s="1">
        <v>9.5</v>
      </c>
      <c r="E98" s="1">
        <v>-2</v>
      </c>
      <c r="F98" s="1">
        <v>3.32</v>
      </c>
      <c r="G98" s="1">
        <v>5.51</v>
      </c>
    </row>
    <row r="99" spans="1:7" x14ac:dyDescent="0.2">
      <c r="A99" s="1">
        <v>200308</v>
      </c>
      <c r="B99" s="1">
        <v>2.74</v>
      </c>
      <c r="C99" s="1">
        <v>4.1399999999999997</v>
      </c>
      <c r="D99" s="1">
        <v>7.77</v>
      </c>
      <c r="E99" s="1">
        <v>1.37</v>
      </c>
      <c r="F99" s="1">
        <v>-0.53</v>
      </c>
      <c r="G99" s="1">
        <v>-2.7</v>
      </c>
    </row>
    <row r="100" spans="1:7" x14ac:dyDescent="0.2">
      <c r="A100" s="1">
        <v>200309</v>
      </c>
      <c r="B100" s="1">
        <v>0.82</v>
      </c>
      <c r="C100" s="1">
        <v>-1.19</v>
      </c>
      <c r="D100" s="1">
        <v>-7.88</v>
      </c>
      <c r="E100" s="1">
        <v>-5.73</v>
      </c>
      <c r="F100" s="1">
        <v>0.97</v>
      </c>
      <c r="G100" s="1">
        <v>-0.7</v>
      </c>
    </row>
    <row r="101" spans="1:7" x14ac:dyDescent="0.2">
      <c r="A101" s="1">
        <v>200310</v>
      </c>
      <c r="B101" s="1">
        <v>10.53</v>
      </c>
      <c r="C101" s="1">
        <v>5.62</v>
      </c>
      <c r="D101" s="1">
        <v>12.33</v>
      </c>
      <c r="E101" s="1">
        <v>6.28</v>
      </c>
      <c r="F101" s="1">
        <v>7.19</v>
      </c>
      <c r="G101" s="1">
        <v>5.0199999999999996</v>
      </c>
    </row>
    <row r="102" spans="1:7" x14ac:dyDescent="0.2">
      <c r="A102" s="1">
        <v>200311</v>
      </c>
      <c r="B102" s="1">
        <v>6.07</v>
      </c>
      <c r="C102" s="1">
        <v>7.22</v>
      </c>
      <c r="D102" s="1">
        <v>3.66</v>
      </c>
      <c r="E102" s="1">
        <v>-0.63</v>
      </c>
      <c r="F102" s="1">
        <v>0.72</v>
      </c>
      <c r="G102" s="1">
        <v>0.65</v>
      </c>
    </row>
    <row r="103" spans="1:7" x14ac:dyDescent="0.2">
      <c r="A103" s="1">
        <v>200312</v>
      </c>
      <c r="B103" s="1">
        <v>5.15</v>
      </c>
      <c r="C103" s="1">
        <v>1.17</v>
      </c>
      <c r="D103" s="1">
        <v>3.77</v>
      </c>
      <c r="E103" s="1">
        <v>7.21</v>
      </c>
      <c r="F103" s="1">
        <v>3.05</v>
      </c>
      <c r="G103" s="1">
        <v>6.53</v>
      </c>
    </row>
    <row r="104" spans="1:7" x14ac:dyDescent="0.2">
      <c r="A104" s="1">
        <v>200401</v>
      </c>
      <c r="B104" s="1">
        <v>-3.23</v>
      </c>
      <c r="C104" s="1">
        <v>4.46</v>
      </c>
      <c r="D104" s="1">
        <v>-1.49</v>
      </c>
      <c r="E104" s="1">
        <v>1.1000000000000001</v>
      </c>
      <c r="F104" s="1">
        <v>2.3199999999999998</v>
      </c>
      <c r="G104" s="1">
        <v>4.6900000000000004</v>
      </c>
    </row>
    <row r="105" spans="1:7" x14ac:dyDescent="0.2">
      <c r="A105" s="1">
        <v>200402</v>
      </c>
      <c r="B105" s="1">
        <v>2.0299999999999998</v>
      </c>
      <c r="C105" s="1">
        <v>-2.97</v>
      </c>
      <c r="D105" s="1">
        <v>0.32</v>
      </c>
      <c r="E105" s="1">
        <v>-0.82</v>
      </c>
      <c r="F105" s="1">
        <v>2</v>
      </c>
      <c r="G105" s="1">
        <v>4.1100000000000003</v>
      </c>
    </row>
    <row r="106" spans="1:7" x14ac:dyDescent="0.2">
      <c r="A106" s="1">
        <v>200403</v>
      </c>
      <c r="B106" s="1">
        <v>4.05</v>
      </c>
      <c r="C106" s="1">
        <v>-3.02</v>
      </c>
      <c r="D106" s="1">
        <v>1.01</v>
      </c>
      <c r="E106" s="1">
        <v>-2.48</v>
      </c>
      <c r="F106" s="1">
        <v>-0.62</v>
      </c>
      <c r="G106" s="1">
        <v>-0.73</v>
      </c>
    </row>
    <row r="107" spans="1:7" x14ac:dyDescent="0.2">
      <c r="A107" s="1">
        <v>200404</v>
      </c>
      <c r="B107" s="1">
        <v>-0.61</v>
      </c>
      <c r="C107" s="1">
        <v>1.27</v>
      </c>
      <c r="D107" s="1">
        <v>-2.65</v>
      </c>
      <c r="E107" s="1">
        <v>-0.83</v>
      </c>
      <c r="F107" s="1">
        <v>-5.78</v>
      </c>
      <c r="G107" s="1">
        <v>-0.85</v>
      </c>
    </row>
    <row r="108" spans="1:7" x14ac:dyDescent="0.2">
      <c r="A108" s="1">
        <v>200405</v>
      </c>
      <c r="B108" s="1">
        <v>1.1499999999999999</v>
      </c>
      <c r="C108" s="1">
        <v>-1.01</v>
      </c>
      <c r="D108" s="1">
        <v>1.96</v>
      </c>
      <c r="E108" s="1">
        <v>-2.92</v>
      </c>
      <c r="F108" s="1">
        <v>2.36</v>
      </c>
      <c r="G108" s="1">
        <v>0.8</v>
      </c>
    </row>
    <row r="109" spans="1:7" x14ac:dyDescent="0.2">
      <c r="A109" s="1">
        <v>200406</v>
      </c>
      <c r="B109" s="1">
        <v>3.55</v>
      </c>
      <c r="C109" s="1">
        <v>3.71</v>
      </c>
      <c r="D109" s="1">
        <v>5.76</v>
      </c>
      <c r="E109" s="1">
        <v>0.53</v>
      </c>
      <c r="F109" s="1">
        <v>0.5</v>
      </c>
      <c r="G109" s="1">
        <v>0.57999999999999996</v>
      </c>
    </row>
    <row r="110" spans="1:7" x14ac:dyDescent="0.2">
      <c r="A110" s="1">
        <v>200407</v>
      </c>
      <c r="B110" s="1">
        <v>-5.34</v>
      </c>
      <c r="C110" s="1">
        <v>-6.3</v>
      </c>
      <c r="D110" s="1">
        <v>-5.93</v>
      </c>
      <c r="E110" s="1">
        <v>-1.61</v>
      </c>
      <c r="F110" s="1">
        <v>-1.49</v>
      </c>
      <c r="G110" s="1">
        <v>-3.07</v>
      </c>
    </row>
    <row r="111" spans="1:7" x14ac:dyDescent="0.2">
      <c r="A111" s="1">
        <v>200408</v>
      </c>
      <c r="B111" s="1">
        <v>1.79</v>
      </c>
      <c r="C111" s="1">
        <v>0.01</v>
      </c>
      <c r="D111" s="1">
        <v>-2.74</v>
      </c>
      <c r="E111" s="1">
        <v>1.19</v>
      </c>
      <c r="F111" s="1">
        <v>3.81</v>
      </c>
      <c r="G111" s="1">
        <v>0.97</v>
      </c>
    </row>
    <row r="112" spans="1:7" x14ac:dyDescent="0.2">
      <c r="A112" s="1">
        <v>200409</v>
      </c>
      <c r="B112" s="1">
        <v>3</v>
      </c>
      <c r="C112" s="1">
        <v>1.2</v>
      </c>
      <c r="D112" s="1">
        <v>5.94</v>
      </c>
      <c r="E112" s="1">
        <v>1.29</v>
      </c>
      <c r="F112" s="1">
        <v>-0.85</v>
      </c>
      <c r="G112" s="1">
        <v>1.39</v>
      </c>
    </row>
    <row r="113" spans="1:7" x14ac:dyDescent="0.2">
      <c r="A113" s="1">
        <v>200410</v>
      </c>
      <c r="B113" s="1">
        <v>2.4500000000000002</v>
      </c>
      <c r="C113" s="1">
        <v>-0.48</v>
      </c>
      <c r="D113" s="1">
        <v>-1.06</v>
      </c>
      <c r="E113" s="1">
        <v>3.07</v>
      </c>
      <c r="F113" s="1">
        <v>1.96</v>
      </c>
      <c r="G113" s="1">
        <v>-5.08</v>
      </c>
    </row>
    <row r="114" spans="1:7" x14ac:dyDescent="0.2">
      <c r="A114" s="1">
        <v>200411</v>
      </c>
      <c r="B114" s="1">
        <v>0.08</v>
      </c>
      <c r="C114" s="1">
        <v>8.34</v>
      </c>
      <c r="D114" s="1">
        <v>7.6</v>
      </c>
      <c r="E114" s="1">
        <v>3.42</v>
      </c>
      <c r="F114" s="1">
        <v>2.79</v>
      </c>
      <c r="G114" s="1">
        <v>7.94</v>
      </c>
    </row>
    <row r="115" spans="1:7" x14ac:dyDescent="0.2">
      <c r="A115" s="1">
        <v>200412</v>
      </c>
      <c r="B115" s="1">
        <v>4.24</v>
      </c>
      <c r="C115" s="1">
        <v>4.25</v>
      </c>
      <c r="D115" s="1">
        <v>3.17</v>
      </c>
      <c r="E115" s="1">
        <v>4.12</v>
      </c>
      <c r="F115" s="1">
        <v>3.34</v>
      </c>
      <c r="G115" s="1">
        <v>4.84</v>
      </c>
    </row>
    <row r="116" spans="1:7" x14ac:dyDescent="0.2">
      <c r="A116" s="1">
        <v>200501</v>
      </c>
      <c r="B116" s="1">
        <v>-2.82</v>
      </c>
      <c r="C116" s="1">
        <v>1.96</v>
      </c>
      <c r="D116" s="1">
        <v>-5.36</v>
      </c>
      <c r="E116" s="1">
        <v>-4.24</v>
      </c>
      <c r="F116" s="1">
        <v>-3.25</v>
      </c>
      <c r="G116" s="1">
        <v>-1</v>
      </c>
    </row>
    <row r="117" spans="1:7" x14ac:dyDescent="0.2">
      <c r="A117" s="1">
        <v>200502</v>
      </c>
      <c r="B117" s="1">
        <v>2.41</v>
      </c>
      <c r="C117" s="1">
        <v>4.4800000000000004</v>
      </c>
      <c r="D117" s="1">
        <v>6.99</v>
      </c>
      <c r="E117" s="1">
        <v>-0.18</v>
      </c>
      <c r="F117" s="1">
        <v>-1.91</v>
      </c>
      <c r="G117" s="1">
        <v>2.63</v>
      </c>
    </row>
    <row r="118" spans="1:7" x14ac:dyDescent="0.2">
      <c r="A118" s="1">
        <v>200503</v>
      </c>
      <c r="B118" s="1">
        <v>0.71</v>
      </c>
      <c r="C118" s="1">
        <v>6.6</v>
      </c>
      <c r="D118" s="1">
        <v>-3.3</v>
      </c>
      <c r="E118" s="1">
        <v>-0.19</v>
      </c>
      <c r="F118" s="1">
        <v>-3.37</v>
      </c>
      <c r="G118" s="1">
        <v>-4.7300000000000004</v>
      </c>
    </row>
    <row r="119" spans="1:7" x14ac:dyDescent="0.2">
      <c r="A119" s="1">
        <v>200504</v>
      </c>
      <c r="B119" s="1">
        <v>-1.31</v>
      </c>
      <c r="C119" s="1">
        <v>0.77</v>
      </c>
      <c r="D119" s="1">
        <v>-5.49</v>
      </c>
      <c r="E119" s="1">
        <v>-2.35</v>
      </c>
      <c r="F119" s="1">
        <v>-0.02</v>
      </c>
      <c r="G119" s="1">
        <v>-1.85</v>
      </c>
    </row>
    <row r="120" spans="1:7" x14ac:dyDescent="0.2">
      <c r="A120" s="1">
        <v>200505</v>
      </c>
      <c r="B120" s="1">
        <v>4.29</v>
      </c>
      <c r="C120" s="1">
        <v>1.87</v>
      </c>
      <c r="D120" s="1">
        <v>5.25</v>
      </c>
      <c r="E120" s="1">
        <v>1.45</v>
      </c>
      <c r="F120" s="1">
        <v>2.3199999999999998</v>
      </c>
      <c r="G120" s="1">
        <v>5.89</v>
      </c>
    </row>
    <row r="121" spans="1:7" x14ac:dyDescent="0.2">
      <c r="A121" s="1">
        <v>200506</v>
      </c>
      <c r="B121" s="1">
        <v>-0.73</v>
      </c>
      <c r="C121" s="1">
        <v>3.62</v>
      </c>
      <c r="D121" s="1">
        <v>0.13</v>
      </c>
      <c r="E121" s="1">
        <v>0.04</v>
      </c>
      <c r="F121" s="1">
        <v>0.71</v>
      </c>
      <c r="G121" s="1">
        <v>3.72</v>
      </c>
    </row>
    <row r="122" spans="1:7" x14ac:dyDescent="0.2">
      <c r="A122" s="1">
        <v>200507</v>
      </c>
      <c r="B122" s="1">
        <v>4.5199999999999996</v>
      </c>
      <c r="C122" s="1">
        <v>-4.26</v>
      </c>
      <c r="D122" s="1">
        <v>10.56</v>
      </c>
      <c r="E122" s="1">
        <v>2.59</v>
      </c>
      <c r="F122" s="1">
        <v>0.18</v>
      </c>
      <c r="G122" s="1">
        <v>3.2</v>
      </c>
    </row>
    <row r="123" spans="1:7" x14ac:dyDescent="0.2">
      <c r="A123" s="1">
        <v>200508</v>
      </c>
      <c r="B123" s="1">
        <v>-4.33</v>
      </c>
      <c r="C123" s="1">
        <v>-0.21</v>
      </c>
      <c r="D123" s="1">
        <v>0.85</v>
      </c>
      <c r="E123" s="1">
        <v>-1.1499999999999999</v>
      </c>
      <c r="F123" s="1">
        <v>-2.0099999999999998</v>
      </c>
      <c r="G123" s="1">
        <v>-1.02</v>
      </c>
    </row>
    <row r="124" spans="1:7" x14ac:dyDescent="0.2">
      <c r="A124" s="1">
        <v>200509</v>
      </c>
      <c r="B124" s="1">
        <v>1.47</v>
      </c>
      <c r="C124" s="1">
        <v>-1.17</v>
      </c>
      <c r="D124" s="1">
        <v>-0.47</v>
      </c>
      <c r="E124" s="1">
        <v>-1.58</v>
      </c>
      <c r="F124" s="1">
        <v>-1.64</v>
      </c>
      <c r="G124" s="1">
        <v>4.12</v>
      </c>
    </row>
    <row r="125" spans="1:7" x14ac:dyDescent="0.2">
      <c r="A125" s="1">
        <v>200510</v>
      </c>
      <c r="B125" s="1">
        <v>-4.46</v>
      </c>
      <c r="C125" s="1">
        <v>-4.5999999999999996</v>
      </c>
      <c r="D125" s="1">
        <v>-4.47</v>
      </c>
      <c r="E125" s="1">
        <v>-3.77</v>
      </c>
      <c r="F125" s="1">
        <v>2.67</v>
      </c>
      <c r="G125" s="1">
        <v>1.95</v>
      </c>
    </row>
    <row r="126" spans="1:7" x14ac:dyDescent="0.2">
      <c r="A126" s="1">
        <v>200511</v>
      </c>
      <c r="B126" s="1">
        <v>-3.84</v>
      </c>
      <c r="C126" s="1">
        <v>5.37</v>
      </c>
      <c r="D126" s="1">
        <v>6.97</v>
      </c>
      <c r="E126" s="1">
        <v>2.52</v>
      </c>
      <c r="F126" s="1">
        <v>3.94</v>
      </c>
      <c r="G126" s="1">
        <v>4.54</v>
      </c>
    </row>
    <row r="127" spans="1:7" x14ac:dyDescent="0.2">
      <c r="A127" s="1">
        <v>200512</v>
      </c>
      <c r="B127" s="1">
        <v>-0.39</v>
      </c>
      <c r="C127" s="1">
        <v>-1.51</v>
      </c>
      <c r="D127" s="1">
        <v>0.73</v>
      </c>
      <c r="E127" s="1">
        <v>-1.74</v>
      </c>
      <c r="F127" s="1">
        <v>0.23</v>
      </c>
      <c r="G127" s="1">
        <v>-0.11</v>
      </c>
    </row>
    <row r="128" spans="1:7" x14ac:dyDescent="0.2">
      <c r="A128" s="1">
        <v>200601</v>
      </c>
      <c r="B128" s="1">
        <v>2.67</v>
      </c>
      <c r="C128" s="1">
        <v>0.72</v>
      </c>
      <c r="D128" s="1">
        <v>10.61</v>
      </c>
      <c r="E128" s="1">
        <v>3.22</v>
      </c>
      <c r="F128" s="1">
        <v>0.35</v>
      </c>
      <c r="G128" s="1">
        <v>-1.21</v>
      </c>
    </row>
    <row r="129" spans="1:7" x14ac:dyDescent="0.2">
      <c r="A129" s="1">
        <v>200602</v>
      </c>
      <c r="B129" s="1">
        <v>0.22</v>
      </c>
      <c r="C129" s="1">
        <v>0.71</v>
      </c>
      <c r="D129" s="1">
        <v>-0.37</v>
      </c>
      <c r="E129" s="1">
        <v>3.24</v>
      </c>
      <c r="F129" s="1">
        <v>1.69</v>
      </c>
      <c r="G129" s="1">
        <v>0.45</v>
      </c>
    </row>
    <row r="130" spans="1:7" x14ac:dyDescent="0.2">
      <c r="A130" s="1">
        <v>200603</v>
      </c>
      <c r="B130" s="1">
        <v>4.6100000000000003</v>
      </c>
      <c r="C130" s="1">
        <v>-1.19</v>
      </c>
      <c r="D130" s="1">
        <v>3</v>
      </c>
      <c r="E130" s="1">
        <v>1.77</v>
      </c>
      <c r="F130" s="1">
        <v>0.01</v>
      </c>
      <c r="G130" s="1">
        <v>-0.42</v>
      </c>
    </row>
    <row r="131" spans="1:7" x14ac:dyDescent="0.2">
      <c r="A131" s="1">
        <v>200604</v>
      </c>
      <c r="B131" s="1">
        <v>-1.63</v>
      </c>
      <c r="C131" s="1">
        <v>-1.25</v>
      </c>
      <c r="D131" s="1">
        <v>5.92</v>
      </c>
      <c r="E131" s="1">
        <v>0.88</v>
      </c>
      <c r="F131" s="1">
        <v>4.75</v>
      </c>
      <c r="G131" s="1">
        <v>-0.86</v>
      </c>
    </row>
    <row r="132" spans="1:7" x14ac:dyDescent="0.2">
      <c r="A132" s="1">
        <v>200605</v>
      </c>
      <c r="B132" s="1">
        <v>-6.23</v>
      </c>
      <c r="C132" s="1">
        <v>-0.12</v>
      </c>
      <c r="D132" s="1">
        <v>-3.52</v>
      </c>
      <c r="E132" s="1">
        <v>-0.27</v>
      </c>
      <c r="F132" s="1">
        <v>-2.99</v>
      </c>
      <c r="G132" s="1">
        <v>-3.59</v>
      </c>
    </row>
    <row r="133" spans="1:7" x14ac:dyDescent="0.2">
      <c r="A133" s="1">
        <v>200606</v>
      </c>
      <c r="B133" s="1">
        <v>0.12</v>
      </c>
      <c r="C133" s="1">
        <v>0.09</v>
      </c>
      <c r="D133" s="1">
        <v>-1</v>
      </c>
      <c r="E133" s="1">
        <v>2.72</v>
      </c>
      <c r="F133" s="1">
        <v>-0.82</v>
      </c>
      <c r="G133" s="1">
        <v>-0.2</v>
      </c>
    </row>
    <row r="134" spans="1:7" x14ac:dyDescent="0.2">
      <c r="A134" s="1">
        <v>200607</v>
      </c>
      <c r="B134" s="1">
        <v>2.68</v>
      </c>
      <c r="C134" s="1">
        <v>1.4</v>
      </c>
      <c r="D134" s="1">
        <v>-6.4</v>
      </c>
      <c r="E134" s="1">
        <v>1.94</v>
      </c>
      <c r="F134" s="1">
        <v>1.93</v>
      </c>
      <c r="G134" s="1">
        <v>0.34</v>
      </c>
    </row>
    <row r="135" spans="1:7" x14ac:dyDescent="0.2">
      <c r="A135" s="1">
        <v>200608</v>
      </c>
      <c r="B135" s="1">
        <v>9.91</v>
      </c>
      <c r="C135" s="1">
        <v>5.38</v>
      </c>
      <c r="D135" s="1">
        <v>-0.52</v>
      </c>
      <c r="E135" s="1">
        <v>2.2799999999999998</v>
      </c>
      <c r="F135" s="1">
        <v>0.4</v>
      </c>
      <c r="G135" s="1">
        <v>3.58</v>
      </c>
    </row>
    <row r="136" spans="1:7" x14ac:dyDescent="0.2">
      <c r="A136" s="1">
        <v>200609</v>
      </c>
      <c r="B136" s="1">
        <v>-1.28</v>
      </c>
      <c r="C136" s="1">
        <v>-1.82</v>
      </c>
      <c r="D136" s="1">
        <v>0.17</v>
      </c>
      <c r="E136" s="1">
        <v>3.3</v>
      </c>
      <c r="F136" s="1">
        <v>2.85</v>
      </c>
      <c r="G136" s="1">
        <v>1.94</v>
      </c>
    </row>
    <row r="137" spans="1:7" x14ac:dyDescent="0.2">
      <c r="A137" s="1">
        <v>200610</v>
      </c>
      <c r="B137" s="1">
        <v>-4.66</v>
      </c>
      <c r="C137" s="1">
        <v>-4.26</v>
      </c>
      <c r="D137" s="1">
        <v>2.4700000000000002</v>
      </c>
      <c r="E137" s="1">
        <v>5.01</v>
      </c>
      <c r="F137" s="1">
        <v>1.1100000000000001</v>
      </c>
      <c r="G137" s="1">
        <v>0.91</v>
      </c>
    </row>
    <row r="138" spans="1:7" x14ac:dyDescent="0.2">
      <c r="A138" s="1">
        <v>200611</v>
      </c>
      <c r="B138" s="1">
        <v>7.83</v>
      </c>
      <c r="C138" s="1">
        <v>3.14</v>
      </c>
      <c r="D138" s="1">
        <v>4.34</v>
      </c>
      <c r="E138" s="1">
        <v>0.73</v>
      </c>
      <c r="F138" s="1">
        <v>-0.42</v>
      </c>
      <c r="G138" s="1">
        <v>2.21</v>
      </c>
    </row>
    <row r="139" spans="1:7" x14ac:dyDescent="0.2">
      <c r="A139" s="1">
        <v>200612</v>
      </c>
      <c r="B139" s="1">
        <v>7.07</v>
      </c>
      <c r="C139" s="1">
        <v>2.83</v>
      </c>
      <c r="D139" s="1">
        <v>-0.01</v>
      </c>
      <c r="E139" s="1">
        <v>4.1100000000000003</v>
      </c>
      <c r="F139" s="1">
        <v>4.1100000000000003</v>
      </c>
      <c r="G139" s="1">
        <v>3.33</v>
      </c>
    </row>
    <row r="140" spans="1:7" x14ac:dyDescent="0.2">
      <c r="A140" s="1">
        <v>200701</v>
      </c>
      <c r="B140" s="1">
        <v>3.99</v>
      </c>
      <c r="C140" s="1">
        <v>0.95</v>
      </c>
      <c r="D140" s="1">
        <v>1.63</v>
      </c>
      <c r="E140" s="1">
        <v>2.68</v>
      </c>
      <c r="F140" s="1">
        <v>-0.39</v>
      </c>
      <c r="G140" s="1">
        <v>-0.94</v>
      </c>
    </row>
    <row r="141" spans="1:7" x14ac:dyDescent="0.2">
      <c r="A141" s="1">
        <v>200702</v>
      </c>
      <c r="B141" s="1">
        <v>-2.46</v>
      </c>
      <c r="C141" s="1">
        <v>2.93</v>
      </c>
      <c r="D141" s="1">
        <v>2.4900000000000002</v>
      </c>
      <c r="E141" s="1">
        <v>-2.54</v>
      </c>
      <c r="F141" s="1">
        <v>-3.19</v>
      </c>
      <c r="G141" s="1">
        <v>0.08</v>
      </c>
    </row>
    <row r="142" spans="1:7" x14ac:dyDescent="0.2">
      <c r="A142" s="1">
        <v>200703</v>
      </c>
      <c r="B142" s="1">
        <v>4.47</v>
      </c>
      <c r="C142" s="1">
        <v>-3.4</v>
      </c>
      <c r="D142" s="1">
        <v>2.39</v>
      </c>
      <c r="E142" s="1">
        <v>2.21</v>
      </c>
      <c r="F142" s="1">
        <v>-1.27</v>
      </c>
      <c r="G142" s="1">
        <v>0.42</v>
      </c>
    </row>
    <row r="143" spans="1:7" x14ac:dyDescent="0.2">
      <c r="A143" s="1">
        <v>200704</v>
      </c>
      <c r="B143" s="1">
        <v>6.19</v>
      </c>
      <c r="C143" s="1">
        <v>3.17</v>
      </c>
      <c r="D143" s="1">
        <v>6.39</v>
      </c>
      <c r="E143" s="1">
        <v>1.71</v>
      </c>
      <c r="F143" s="1">
        <v>2.7</v>
      </c>
      <c r="G143" s="1">
        <v>3.78</v>
      </c>
    </row>
    <row r="144" spans="1:7" x14ac:dyDescent="0.2">
      <c r="A144" s="1">
        <v>200705</v>
      </c>
      <c r="B144" s="1">
        <v>3.71</v>
      </c>
      <c r="C144" s="1">
        <v>2.35</v>
      </c>
      <c r="D144" s="1">
        <v>6</v>
      </c>
      <c r="E144" s="1">
        <v>6.73</v>
      </c>
      <c r="F144" s="1">
        <v>1.75</v>
      </c>
      <c r="G144" s="1">
        <v>3.49</v>
      </c>
    </row>
    <row r="145" spans="1:7" x14ac:dyDescent="0.2">
      <c r="A145" s="1">
        <v>200706</v>
      </c>
      <c r="B145" s="1">
        <v>7.04</v>
      </c>
      <c r="C145" s="1">
        <v>-0.92</v>
      </c>
      <c r="D145" s="1">
        <v>1.71</v>
      </c>
      <c r="E145" s="1">
        <v>-1.84</v>
      </c>
      <c r="F145" s="1">
        <v>-3.83</v>
      </c>
      <c r="G145" s="1">
        <v>-3.14</v>
      </c>
    </row>
    <row r="146" spans="1:7" x14ac:dyDescent="0.2">
      <c r="A146" s="1">
        <v>200707</v>
      </c>
      <c r="B146" s="1">
        <v>-3.96</v>
      </c>
      <c r="C146" s="1">
        <v>-5.83</v>
      </c>
      <c r="D146" s="1">
        <v>0.9</v>
      </c>
      <c r="E146" s="1">
        <v>-3.41</v>
      </c>
      <c r="F146" s="1">
        <v>-7.56</v>
      </c>
      <c r="G146" s="1">
        <v>-7.74</v>
      </c>
    </row>
    <row r="147" spans="1:7" x14ac:dyDescent="0.2">
      <c r="A147" s="1">
        <v>200708</v>
      </c>
      <c r="B147" s="1">
        <v>7.39</v>
      </c>
      <c r="C147" s="1">
        <v>-0.1</v>
      </c>
      <c r="D147" s="1">
        <v>1.26</v>
      </c>
      <c r="E147" s="1">
        <v>-0.9</v>
      </c>
      <c r="F147" s="1">
        <v>2.38</v>
      </c>
      <c r="G147" s="1">
        <v>1.68</v>
      </c>
    </row>
    <row r="148" spans="1:7" x14ac:dyDescent="0.2">
      <c r="A148" s="1">
        <v>200709</v>
      </c>
      <c r="B148" s="1">
        <v>20.59</v>
      </c>
      <c r="C148" s="1">
        <v>3.34</v>
      </c>
      <c r="D148" s="1">
        <v>4.71</v>
      </c>
      <c r="E148" s="1">
        <v>2.04</v>
      </c>
      <c r="F148" s="1">
        <v>-0.13</v>
      </c>
      <c r="G148" s="1">
        <v>2.7</v>
      </c>
    </row>
    <row r="149" spans="1:7" x14ac:dyDescent="0.2">
      <c r="A149" s="1">
        <v>200710</v>
      </c>
      <c r="B149" s="1">
        <v>13.37</v>
      </c>
      <c r="C149" s="1">
        <v>-1.79</v>
      </c>
      <c r="D149" s="1">
        <v>-1.58</v>
      </c>
      <c r="E149" s="1">
        <v>-2.46</v>
      </c>
      <c r="F149" s="1">
        <v>-3.76</v>
      </c>
      <c r="G149" s="1">
        <v>-2.0499999999999998</v>
      </c>
    </row>
    <row r="150" spans="1:7" x14ac:dyDescent="0.2">
      <c r="A150" s="1">
        <v>200711</v>
      </c>
      <c r="B150" s="1">
        <v>0.91</v>
      </c>
      <c r="C150" s="1">
        <v>-0.12</v>
      </c>
      <c r="D150" s="1">
        <v>-2.5299999999999998</v>
      </c>
      <c r="E150" s="1">
        <v>-6.59</v>
      </c>
      <c r="F150" s="1">
        <v>-8.59</v>
      </c>
      <c r="G150" s="1">
        <v>-1.34</v>
      </c>
    </row>
    <row r="151" spans="1:7" x14ac:dyDescent="0.2">
      <c r="A151" s="1">
        <v>200712</v>
      </c>
      <c r="B151" s="1">
        <v>11.64</v>
      </c>
      <c r="C151" s="1">
        <v>-0.77</v>
      </c>
      <c r="D151" s="1">
        <v>2.56</v>
      </c>
      <c r="E151" s="1">
        <v>-0.5</v>
      </c>
      <c r="F151" s="1">
        <v>-7.99</v>
      </c>
      <c r="G151" s="1">
        <v>0.05</v>
      </c>
    </row>
    <row r="152" spans="1:7" x14ac:dyDescent="0.2">
      <c r="A152" s="1">
        <v>200801</v>
      </c>
      <c r="B152" s="1">
        <v>-0.64</v>
      </c>
      <c r="C152" s="1">
        <v>-6.73</v>
      </c>
      <c r="D152" s="1">
        <v>-10.09</v>
      </c>
      <c r="E152" s="1">
        <v>-8.2200000000000006</v>
      </c>
      <c r="F152" s="1">
        <v>3.69</v>
      </c>
      <c r="G152" s="1">
        <v>-6.19</v>
      </c>
    </row>
    <row r="153" spans="1:7" x14ac:dyDescent="0.2">
      <c r="A153" s="1">
        <v>200802</v>
      </c>
      <c r="B153" s="1">
        <v>2.83</v>
      </c>
      <c r="C153" s="1">
        <v>-3.62</v>
      </c>
      <c r="D153" s="1">
        <v>3.17</v>
      </c>
      <c r="E153" s="1">
        <v>-3.73</v>
      </c>
      <c r="F153" s="1">
        <v>-12.34</v>
      </c>
      <c r="G153" s="1">
        <v>-7.98</v>
      </c>
    </row>
    <row r="154" spans="1:7" x14ac:dyDescent="0.2">
      <c r="A154" s="1">
        <v>200803</v>
      </c>
      <c r="B154" s="1">
        <v>-3.76</v>
      </c>
      <c r="C154" s="1">
        <v>-4.6100000000000003</v>
      </c>
      <c r="D154" s="1">
        <v>-0.24</v>
      </c>
      <c r="E154" s="1">
        <v>-0.26</v>
      </c>
      <c r="F154" s="1">
        <v>-1.93</v>
      </c>
      <c r="G154" s="1">
        <v>-6.4</v>
      </c>
    </row>
    <row r="155" spans="1:7" x14ac:dyDescent="0.2">
      <c r="A155" s="1">
        <v>200804</v>
      </c>
      <c r="B155" s="1">
        <v>2.5299999999999998</v>
      </c>
      <c r="C155" s="1">
        <v>6.58</v>
      </c>
      <c r="D155" s="1">
        <v>8.83</v>
      </c>
      <c r="E155" s="1">
        <v>4.18</v>
      </c>
      <c r="F155" s="1">
        <v>5.53</v>
      </c>
      <c r="G155" s="1">
        <v>3.63</v>
      </c>
    </row>
    <row r="156" spans="1:7" x14ac:dyDescent="0.2">
      <c r="A156" s="1">
        <v>200805</v>
      </c>
      <c r="B156" s="1">
        <v>10.92</v>
      </c>
      <c r="C156" s="1">
        <v>0.12</v>
      </c>
      <c r="D156" s="1">
        <v>5.55</v>
      </c>
      <c r="E156" s="1">
        <v>4.78</v>
      </c>
      <c r="F156" s="1">
        <v>-6.49</v>
      </c>
      <c r="G156" s="1">
        <v>-1.26</v>
      </c>
    </row>
    <row r="157" spans="1:7" x14ac:dyDescent="0.2">
      <c r="A157" s="1">
        <v>200806</v>
      </c>
      <c r="B157" s="1">
        <v>-1.66</v>
      </c>
      <c r="C157" s="1">
        <v>-7.81</v>
      </c>
      <c r="D157" s="1">
        <v>-6.83</v>
      </c>
      <c r="E157" s="1">
        <v>-10.98</v>
      </c>
      <c r="F157" s="1">
        <v>-21.2</v>
      </c>
      <c r="G157" s="1">
        <v>-14.48</v>
      </c>
    </row>
    <row r="158" spans="1:7" x14ac:dyDescent="0.2">
      <c r="A158" s="1">
        <v>200807</v>
      </c>
      <c r="B158" s="1">
        <v>-5.07</v>
      </c>
      <c r="C158" s="1">
        <v>3.71</v>
      </c>
      <c r="D158" s="1">
        <v>-5.28</v>
      </c>
      <c r="E158" s="1">
        <v>-3.43</v>
      </c>
      <c r="F158" s="1">
        <v>10.65</v>
      </c>
      <c r="G158" s="1">
        <v>2.21</v>
      </c>
    </row>
    <row r="159" spans="1:7" x14ac:dyDescent="0.2">
      <c r="A159" s="1">
        <v>200808</v>
      </c>
      <c r="B159" s="1">
        <v>-3.62</v>
      </c>
      <c r="C159" s="1">
        <v>5.3</v>
      </c>
      <c r="D159" s="1">
        <v>0.47</v>
      </c>
      <c r="E159" s="1">
        <v>3.8</v>
      </c>
      <c r="F159" s="1">
        <v>-0.35</v>
      </c>
      <c r="G159" s="1">
        <v>1.67</v>
      </c>
    </row>
    <row r="160" spans="1:7" x14ac:dyDescent="0.2">
      <c r="A160" s="1">
        <v>200809</v>
      </c>
      <c r="B160" s="1">
        <v>-12.94</v>
      </c>
      <c r="C160" s="1">
        <v>-6.52</v>
      </c>
      <c r="D160" s="1">
        <v>-20.88</v>
      </c>
      <c r="E160" s="1">
        <v>-12.85</v>
      </c>
      <c r="F160" s="1">
        <v>2.72</v>
      </c>
      <c r="G160" s="1">
        <v>-11.99</v>
      </c>
    </row>
    <row r="161" spans="1:7" x14ac:dyDescent="0.2">
      <c r="A161" s="1">
        <v>200810</v>
      </c>
      <c r="B161" s="1">
        <v>-11.22</v>
      </c>
      <c r="C161" s="1">
        <v>-19.399999999999999</v>
      </c>
      <c r="D161" s="1">
        <v>-30.18</v>
      </c>
      <c r="E161" s="1">
        <v>-16.77</v>
      </c>
      <c r="F161" s="1">
        <v>-15.48</v>
      </c>
      <c r="G161" s="1">
        <v>-26.54</v>
      </c>
    </row>
    <row r="162" spans="1:7" x14ac:dyDescent="0.2">
      <c r="A162" s="1">
        <v>200811</v>
      </c>
      <c r="B162" s="1">
        <v>-10.71</v>
      </c>
      <c r="C162" s="1">
        <v>-13.53</v>
      </c>
      <c r="D162" s="1">
        <v>-8.34</v>
      </c>
      <c r="E162" s="1">
        <v>-2.39</v>
      </c>
      <c r="F162" s="1">
        <v>-17.32</v>
      </c>
      <c r="G162" s="1">
        <v>-6.1</v>
      </c>
    </row>
    <row r="163" spans="1:7" x14ac:dyDescent="0.2">
      <c r="A163" s="1">
        <v>200812</v>
      </c>
      <c r="B163" s="1">
        <v>-9.69</v>
      </c>
      <c r="C163" s="1">
        <v>7.38</v>
      </c>
      <c r="D163" s="1">
        <v>3.38</v>
      </c>
      <c r="E163" s="1">
        <v>3.34</v>
      </c>
      <c r="F163" s="1">
        <v>-4.6100000000000003</v>
      </c>
      <c r="G163" s="1">
        <v>12.24</v>
      </c>
    </row>
    <row r="164" spans="1:7" x14ac:dyDescent="0.2">
      <c r="A164" s="1">
        <v>200901</v>
      </c>
      <c r="B164" s="1">
        <v>6.84</v>
      </c>
      <c r="C164" s="1">
        <v>-3.53</v>
      </c>
      <c r="D164" s="1">
        <v>-10.18</v>
      </c>
      <c r="E164" s="1">
        <v>-10.62</v>
      </c>
      <c r="F164" s="1">
        <v>-27.58</v>
      </c>
      <c r="G164" s="1">
        <v>-14.74</v>
      </c>
    </row>
    <row r="165" spans="1:7" x14ac:dyDescent="0.2">
      <c r="A165" s="1">
        <v>200902</v>
      </c>
      <c r="B165" s="1">
        <v>-0.53</v>
      </c>
      <c r="C165" s="1">
        <v>-10</v>
      </c>
      <c r="D165" s="1">
        <v>-13.13</v>
      </c>
      <c r="E165" s="1">
        <v>-7.12</v>
      </c>
      <c r="F165" s="1">
        <v>-15.39</v>
      </c>
      <c r="G165" s="1">
        <v>-19.559999999999999</v>
      </c>
    </row>
    <row r="166" spans="1:7" x14ac:dyDescent="0.2">
      <c r="A166" s="1">
        <v>200903</v>
      </c>
      <c r="B166" s="1">
        <v>8.8800000000000008</v>
      </c>
      <c r="C166" s="1">
        <v>1.89</v>
      </c>
      <c r="D166" s="1">
        <v>11.2</v>
      </c>
      <c r="E166" s="1">
        <v>5.49</v>
      </c>
      <c r="F166" s="1">
        <v>14.41</v>
      </c>
      <c r="G166" s="1">
        <v>10.220000000000001</v>
      </c>
    </row>
    <row r="167" spans="1:7" x14ac:dyDescent="0.2">
      <c r="A167" s="1">
        <v>200904</v>
      </c>
      <c r="B167" s="1">
        <v>2.8</v>
      </c>
      <c r="C167" s="1">
        <v>15.63</v>
      </c>
      <c r="D167" s="1">
        <v>20.38</v>
      </c>
      <c r="E167" s="1">
        <v>9.58</v>
      </c>
      <c r="F167" s="1">
        <v>19.54</v>
      </c>
      <c r="G167" s="1">
        <v>13.14</v>
      </c>
    </row>
    <row r="168" spans="1:7" x14ac:dyDescent="0.2">
      <c r="A168" s="1">
        <v>200905</v>
      </c>
      <c r="B168" s="1">
        <v>-2.98</v>
      </c>
      <c r="C168" s="1">
        <v>4.0199999999999996</v>
      </c>
      <c r="D168" s="1">
        <v>3.63</v>
      </c>
      <c r="E168" s="1">
        <v>1.44</v>
      </c>
      <c r="F168" s="1">
        <v>9.83</v>
      </c>
      <c r="G168" s="1">
        <v>7.77</v>
      </c>
    </row>
    <row r="169" spans="1:7" x14ac:dyDescent="0.2">
      <c r="A169" s="1">
        <v>200906</v>
      </c>
      <c r="B169" s="1">
        <v>-8.36</v>
      </c>
      <c r="C169" s="1">
        <v>3.6</v>
      </c>
      <c r="D169" s="1">
        <v>-2.4500000000000002</v>
      </c>
      <c r="E169" s="1">
        <v>1.45</v>
      </c>
      <c r="F169" s="1">
        <v>-3.45</v>
      </c>
      <c r="G169" s="1">
        <v>-1.4</v>
      </c>
    </row>
    <row r="170" spans="1:7" x14ac:dyDescent="0.2">
      <c r="A170" s="1">
        <v>200907</v>
      </c>
      <c r="B170" s="1">
        <v>12.1</v>
      </c>
      <c r="C170" s="1">
        <v>6.57</v>
      </c>
      <c r="D170" s="1">
        <v>15.73</v>
      </c>
      <c r="E170" s="1">
        <v>4.83</v>
      </c>
      <c r="F170" s="1">
        <v>8.4700000000000006</v>
      </c>
      <c r="G170" s="1">
        <v>9.42</v>
      </c>
    </row>
    <row r="171" spans="1:7" x14ac:dyDescent="0.2">
      <c r="A171" s="1">
        <v>200908</v>
      </c>
      <c r="B171" s="1">
        <v>-0.17</v>
      </c>
      <c r="C171" s="1">
        <v>2.88</v>
      </c>
      <c r="D171" s="1">
        <v>1.74</v>
      </c>
      <c r="E171" s="1">
        <v>0.74</v>
      </c>
      <c r="F171" s="1">
        <v>12.82</v>
      </c>
      <c r="G171" s="1">
        <v>10.55</v>
      </c>
    </row>
    <row r="172" spans="1:7" x14ac:dyDescent="0.2">
      <c r="A172" s="1">
        <v>200909</v>
      </c>
      <c r="B172" s="1">
        <v>-6.69</v>
      </c>
      <c r="C172" s="1">
        <v>3.5</v>
      </c>
      <c r="D172" s="1">
        <v>8.1999999999999993</v>
      </c>
      <c r="E172" s="1">
        <v>6.47</v>
      </c>
      <c r="F172" s="1">
        <v>-0.31</v>
      </c>
      <c r="G172" s="1">
        <v>-0.17</v>
      </c>
    </row>
    <row r="173" spans="1:7" x14ac:dyDescent="0.2">
      <c r="A173" s="1">
        <v>200910</v>
      </c>
      <c r="B173" s="1">
        <v>-12.64</v>
      </c>
      <c r="C173" s="1">
        <v>-2.86</v>
      </c>
      <c r="D173" s="1">
        <v>0</v>
      </c>
      <c r="E173" s="1">
        <v>-4.03</v>
      </c>
      <c r="F173" s="1">
        <v>-4.9000000000000004</v>
      </c>
      <c r="G173" s="1">
        <v>-4.1500000000000004</v>
      </c>
    </row>
    <row r="174" spans="1:7" x14ac:dyDescent="0.2">
      <c r="A174" s="1">
        <v>200911</v>
      </c>
      <c r="B174" s="1">
        <v>18.11</v>
      </c>
      <c r="C174" s="1">
        <v>3.9</v>
      </c>
      <c r="D174" s="1">
        <v>6.06</v>
      </c>
      <c r="E174" s="1">
        <v>6.43</v>
      </c>
      <c r="F174" s="1">
        <v>4.51</v>
      </c>
      <c r="G174" s="1">
        <v>4.74</v>
      </c>
    </row>
    <row r="175" spans="1:7" x14ac:dyDescent="0.2">
      <c r="A175" s="1">
        <v>200912</v>
      </c>
      <c r="B175" s="1">
        <v>1.98</v>
      </c>
      <c r="C175" s="1">
        <v>7.11</v>
      </c>
      <c r="D175" s="1">
        <v>3.52</v>
      </c>
      <c r="E175" s="1">
        <v>6.12</v>
      </c>
      <c r="F175" s="1">
        <v>-0.44</v>
      </c>
      <c r="G175" s="1">
        <v>2.81</v>
      </c>
    </row>
    <row r="176" spans="1:7" x14ac:dyDescent="0.2">
      <c r="A176" s="1">
        <v>201001</v>
      </c>
      <c r="B176" s="1">
        <v>-6.94</v>
      </c>
      <c r="C176" s="1">
        <v>-3.96</v>
      </c>
      <c r="D176" s="1">
        <v>-6.78</v>
      </c>
      <c r="E176" s="1">
        <v>-7.31</v>
      </c>
      <c r="F176" s="1">
        <v>0.36</v>
      </c>
      <c r="G176" s="1">
        <v>0.66</v>
      </c>
    </row>
    <row r="177" spans="1:7" x14ac:dyDescent="0.2">
      <c r="A177" s="1">
        <v>201002</v>
      </c>
      <c r="B177" s="1">
        <v>-6.6</v>
      </c>
      <c r="C177" s="1">
        <v>2.3199999999999998</v>
      </c>
      <c r="D177" s="1">
        <v>7.87</v>
      </c>
      <c r="E177" s="1">
        <v>2.75</v>
      </c>
      <c r="F177" s="1">
        <v>1.71</v>
      </c>
      <c r="G177" s="1">
        <v>3.44</v>
      </c>
    </row>
    <row r="178" spans="1:7" x14ac:dyDescent="0.2">
      <c r="A178" s="1">
        <v>201003</v>
      </c>
      <c r="B178" s="1">
        <v>2.04</v>
      </c>
      <c r="C178" s="1">
        <v>7.02</v>
      </c>
      <c r="D178" s="1">
        <v>6.37</v>
      </c>
      <c r="E178" s="1">
        <v>7.51</v>
      </c>
      <c r="F178" s="1">
        <v>8.3699999999999992</v>
      </c>
      <c r="G178" s="1">
        <v>7.91</v>
      </c>
    </row>
    <row r="179" spans="1:7" x14ac:dyDescent="0.2">
      <c r="A179" s="1">
        <v>201004</v>
      </c>
      <c r="B179" s="1">
        <v>-10.53</v>
      </c>
      <c r="C179" s="1">
        <v>2.5</v>
      </c>
      <c r="D179" s="1">
        <v>5.94</v>
      </c>
      <c r="E179" s="1">
        <v>3</v>
      </c>
      <c r="F179" s="1">
        <v>2.99</v>
      </c>
      <c r="G179" s="1">
        <v>-1.72</v>
      </c>
    </row>
    <row r="180" spans="1:7" x14ac:dyDescent="0.2">
      <c r="A180" s="1">
        <v>201005</v>
      </c>
      <c r="B180" s="1">
        <v>-18.190000000000001</v>
      </c>
      <c r="C180" s="1">
        <v>-3.59</v>
      </c>
      <c r="D180" s="1">
        <v>-10.039999999999999</v>
      </c>
      <c r="E180" s="1">
        <v>-5.91</v>
      </c>
      <c r="F180" s="1">
        <v>-11.1</v>
      </c>
      <c r="G180" s="1">
        <v>-5.96</v>
      </c>
    </row>
    <row r="181" spans="1:7" x14ac:dyDescent="0.2">
      <c r="A181" s="1">
        <v>201006</v>
      </c>
      <c r="B181" s="1">
        <v>-8.5399999999999991</v>
      </c>
      <c r="C181" s="1">
        <v>-7.44</v>
      </c>
      <c r="D181" s="1">
        <v>-5.66</v>
      </c>
      <c r="E181" s="1">
        <v>-4.05</v>
      </c>
      <c r="F181" s="1">
        <v>-7.77</v>
      </c>
      <c r="G181" s="1">
        <v>-4.7300000000000004</v>
      </c>
    </row>
    <row r="182" spans="1:7" x14ac:dyDescent="0.2">
      <c r="A182" s="1">
        <v>201007</v>
      </c>
      <c r="B182" s="1">
        <v>18.27</v>
      </c>
      <c r="C182" s="1">
        <v>-5.51</v>
      </c>
      <c r="D182" s="1">
        <v>13.83</v>
      </c>
      <c r="E182" s="1">
        <v>8.93</v>
      </c>
      <c r="F182" s="1">
        <v>5.9</v>
      </c>
      <c r="G182" s="1">
        <v>5.79</v>
      </c>
    </row>
    <row r="183" spans="1:7" x14ac:dyDescent="0.2">
      <c r="A183" s="1">
        <v>201008</v>
      </c>
      <c r="B183" s="1">
        <v>-9.25</v>
      </c>
      <c r="C183" s="1">
        <v>-4.54</v>
      </c>
      <c r="D183" s="1">
        <v>-8.19</v>
      </c>
      <c r="E183" s="1">
        <v>-2.21</v>
      </c>
      <c r="F183" s="1">
        <v>-10.34</v>
      </c>
      <c r="G183" s="1">
        <v>-4.55</v>
      </c>
    </row>
    <row r="184" spans="1:7" x14ac:dyDescent="0.2">
      <c r="A184" s="1">
        <v>201009</v>
      </c>
      <c r="B184" s="1">
        <v>-5.73</v>
      </c>
      <c r="C184" s="1">
        <v>12.43</v>
      </c>
      <c r="D184" s="1">
        <v>15.68</v>
      </c>
      <c r="E184" s="1">
        <v>7.85</v>
      </c>
      <c r="F184" s="1">
        <v>6.31</v>
      </c>
      <c r="G184" s="1">
        <v>8.6999999999999993</v>
      </c>
    </row>
    <row r="185" spans="1:7" x14ac:dyDescent="0.2">
      <c r="A185" s="1">
        <v>201010</v>
      </c>
      <c r="B185" s="1">
        <v>18.96</v>
      </c>
      <c r="C185" s="1">
        <v>3.02</v>
      </c>
      <c r="D185" s="1">
        <v>4.47</v>
      </c>
      <c r="E185" s="1">
        <v>3.94</v>
      </c>
      <c r="F185" s="1">
        <v>0.23</v>
      </c>
      <c r="G185" s="1">
        <v>1.99</v>
      </c>
    </row>
    <row r="186" spans="1:7" x14ac:dyDescent="0.2">
      <c r="A186" s="1">
        <v>201011</v>
      </c>
      <c r="B186" s="1">
        <v>0.85</v>
      </c>
      <c r="C186" s="1">
        <v>1.62</v>
      </c>
      <c r="D186" s="1">
        <v>6.54</v>
      </c>
      <c r="E186" s="1">
        <v>-1.98</v>
      </c>
      <c r="F186" s="1">
        <v>-0.08</v>
      </c>
      <c r="G186" s="1">
        <v>-0.99</v>
      </c>
    </row>
    <row r="187" spans="1:7" x14ac:dyDescent="0.2">
      <c r="A187" s="1">
        <v>201012</v>
      </c>
      <c r="B187" s="1">
        <v>15.83</v>
      </c>
      <c r="C187" s="1">
        <v>9.23</v>
      </c>
      <c r="D187" s="1">
        <v>10.46</v>
      </c>
      <c r="E187" s="1">
        <v>6.38</v>
      </c>
      <c r="F187" s="1">
        <v>11.84</v>
      </c>
      <c r="G187" s="1">
        <v>8.1999999999999993</v>
      </c>
    </row>
    <row r="188" spans="1:7" x14ac:dyDescent="0.2">
      <c r="A188" s="1">
        <v>201101</v>
      </c>
      <c r="B188" s="1">
        <v>4.67</v>
      </c>
      <c r="C188" s="1">
        <v>1.7</v>
      </c>
      <c r="D188" s="1">
        <v>5</v>
      </c>
      <c r="E188" s="1">
        <v>-0.5</v>
      </c>
      <c r="F188" s="1">
        <v>2.5</v>
      </c>
      <c r="G188" s="1">
        <v>1.96</v>
      </c>
    </row>
    <row r="189" spans="1:7" x14ac:dyDescent="0.2">
      <c r="A189" s="1">
        <v>201102</v>
      </c>
      <c r="B189" s="1">
        <v>-1.2</v>
      </c>
      <c r="C189" s="1">
        <v>6.87</v>
      </c>
      <c r="D189" s="1">
        <v>3.65</v>
      </c>
      <c r="E189" s="1">
        <v>7.35</v>
      </c>
      <c r="F189" s="1">
        <v>1.44</v>
      </c>
      <c r="G189" s="1">
        <v>4.4400000000000004</v>
      </c>
    </row>
    <row r="190" spans="1:7" x14ac:dyDescent="0.2">
      <c r="A190" s="1">
        <v>201103</v>
      </c>
      <c r="B190" s="1">
        <v>0.33</v>
      </c>
      <c r="C190" s="1">
        <v>3.51</v>
      </c>
      <c r="D190" s="1">
        <v>4.2300000000000004</v>
      </c>
      <c r="E190" s="1">
        <v>1.55</v>
      </c>
      <c r="F190" s="1">
        <v>-1.89</v>
      </c>
      <c r="G190" s="1">
        <v>-0.65</v>
      </c>
    </row>
    <row r="191" spans="1:7" x14ac:dyDescent="0.2">
      <c r="A191" s="1">
        <v>201104</v>
      </c>
      <c r="B191" s="1">
        <v>-4.51</v>
      </c>
      <c r="C191" s="1">
        <v>1</v>
      </c>
      <c r="D191" s="1">
        <v>1.59</v>
      </c>
      <c r="E191" s="1">
        <v>2.85</v>
      </c>
      <c r="F191" s="1">
        <v>-0.55000000000000004</v>
      </c>
      <c r="G191" s="1">
        <v>3.55</v>
      </c>
    </row>
    <row r="192" spans="1:7" x14ac:dyDescent="0.2">
      <c r="A192" s="1">
        <v>201105</v>
      </c>
      <c r="B192" s="1">
        <v>2.86</v>
      </c>
      <c r="C192" s="1">
        <v>0.51</v>
      </c>
      <c r="D192" s="1">
        <v>-5.85</v>
      </c>
      <c r="E192" s="1">
        <v>0.85</v>
      </c>
      <c r="F192" s="1">
        <v>-2.77</v>
      </c>
      <c r="G192" s="1">
        <v>-1.7</v>
      </c>
    </row>
    <row r="193" spans="1:7" x14ac:dyDescent="0.2">
      <c r="A193" s="1">
        <v>201106</v>
      </c>
      <c r="B193" s="1">
        <v>1.51</v>
      </c>
      <c r="C193" s="1">
        <v>-2.97</v>
      </c>
      <c r="D193" s="1">
        <v>-0.95</v>
      </c>
      <c r="E193" s="1">
        <v>-1.42</v>
      </c>
      <c r="F193" s="1">
        <v>-2.12</v>
      </c>
      <c r="G193" s="1">
        <v>-1.25</v>
      </c>
    </row>
    <row r="194" spans="1:7" x14ac:dyDescent="0.2">
      <c r="A194" s="1">
        <v>201107</v>
      </c>
      <c r="B194" s="1">
        <v>0.96</v>
      </c>
      <c r="C194" s="1">
        <v>-8.9</v>
      </c>
      <c r="D194" s="1">
        <v>-4.8499999999999996</v>
      </c>
      <c r="E194" s="1">
        <v>-5.36</v>
      </c>
      <c r="F194" s="1">
        <v>-3.72</v>
      </c>
      <c r="G194" s="1">
        <v>-5.25</v>
      </c>
    </row>
    <row r="195" spans="1:7" x14ac:dyDescent="0.2">
      <c r="A195" s="1">
        <v>201108</v>
      </c>
      <c r="B195" s="1">
        <v>-6.76</v>
      </c>
      <c r="C195" s="1">
        <v>-13.44</v>
      </c>
      <c r="D195" s="1">
        <v>-8.25</v>
      </c>
      <c r="E195" s="1">
        <v>-5.29</v>
      </c>
      <c r="F195" s="1">
        <v>-9.23</v>
      </c>
      <c r="G195" s="1">
        <v>-7.54</v>
      </c>
    </row>
    <row r="196" spans="1:7" x14ac:dyDescent="0.2">
      <c r="A196" s="1">
        <v>201109</v>
      </c>
      <c r="B196" s="1">
        <v>-12.83</v>
      </c>
      <c r="C196" s="1">
        <v>-9.32</v>
      </c>
      <c r="D196" s="1">
        <v>-16.559999999999999</v>
      </c>
      <c r="E196" s="1">
        <v>-5.93</v>
      </c>
      <c r="F196" s="1">
        <v>-11.57</v>
      </c>
      <c r="G196" s="1">
        <v>-8.07</v>
      </c>
    </row>
    <row r="197" spans="1:7" x14ac:dyDescent="0.2">
      <c r="A197" s="1">
        <v>201110</v>
      </c>
      <c r="B197" s="1">
        <v>20.52</v>
      </c>
      <c r="C197" s="1">
        <v>11.49</v>
      </c>
      <c r="D197" s="1">
        <v>22.84</v>
      </c>
      <c r="E197" s="1">
        <v>6.98</v>
      </c>
      <c r="F197" s="1">
        <v>12.98</v>
      </c>
      <c r="G197" s="1">
        <v>13.39</v>
      </c>
    </row>
    <row r="198" spans="1:7" x14ac:dyDescent="0.2">
      <c r="A198" s="1">
        <v>201111</v>
      </c>
      <c r="B198" s="1">
        <v>0.26</v>
      </c>
      <c r="C198" s="1">
        <v>1.88</v>
      </c>
      <c r="D198" s="1">
        <v>1.99</v>
      </c>
      <c r="E198" s="1">
        <v>0.1</v>
      </c>
      <c r="F198" s="1">
        <v>-4.0599999999999996</v>
      </c>
      <c r="G198" s="1">
        <v>-0.73</v>
      </c>
    </row>
    <row r="199" spans="1:7" x14ac:dyDescent="0.2">
      <c r="A199" s="1">
        <v>201112</v>
      </c>
      <c r="B199" s="1">
        <v>-3.96</v>
      </c>
      <c r="C199" s="1">
        <v>-1.19</v>
      </c>
      <c r="D199" s="1">
        <v>-3.85</v>
      </c>
      <c r="E199" s="1">
        <v>2.87</v>
      </c>
      <c r="F199" s="1">
        <v>3.05</v>
      </c>
      <c r="G199" s="1">
        <v>0.83</v>
      </c>
    </row>
    <row r="200" spans="1:7" x14ac:dyDescent="0.2">
      <c r="A200" s="1">
        <v>201201</v>
      </c>
      <c r="B200" s="1">
        <v>16.399999999999999</v>
      </c>
      <c r="C200" s="1">
        <v>4.3600000000000003</v>
      </c>
      <c r="D200" s="1">
        <v>12.61</v>
      </c>
      <c r="E200" s="1">
        <v>1.94</v>
      </c>
      <c r="F200" s="1">
        <v>7.34</v>
      </c>
      <c r="G200" s="1">
        <v>4.72</v>
      </c>
    </row>
    <row r="201" spans="1:7" x14ac:dyDescent="0.2">
      <c r="A201" s="1">
        <v>201202</v>
      </c>
      <c r="B201" s="1">
        <v>-5.12</v>
      </c>
      <c r="C201" s="1">
        <v>5.0599999999999996</v>
      </c>
      <c r="D201" s="1">
        <v>4.3600000000000003</v>
      </c>
      <c r="E201" s="1">
        <v>4.72</v>
      </c>
      <c r="F201" s="1">
        <v>7.19</v>
      </c>
      <c r="G201" s="1">
        <v>4.6399999999999997</v>
      </c>
    </row>
    <row r="202" spans="1:7" x14ac:dyDescent="0.2">
      <c r="A202" s="1">
        <v>201203</v>
      </c>
      <c r="B202" s="1">
        <v>2.95</v>
      </c>
      <c r="C202" s="1">
        <v>0.23</v>
      </c>
      <c r="D202" s="1">
        <v>-2.84</v>
      </c>
      <c r="E202" s="1">
        <v>2.38</v>
      </c>
      <c r="F202" s="1">
        <v>9.06</v>
      </c>
      <c r="G202" s="1">
        <v>3.49</v>
      </c>
    </row>
    <row r="203" spans="1:7" x14ac:dyDescent="0.2">
      <c r="A203" s="1">
        <v>201204</v>
      </c>
      <c r="B203" s="1">
        <v>-4.3899999999999997</v>
      </c>
      <c r="C203" s="1">
        <v>-1.02</v>
      </c>
      <c r="D203" s="1">
        <v>-1.69</v>
      </c>
      <c r="E203" s="1">
        <v>1.2</v>
      </c>
      <c r="F203" s="1">
        <v>-2.37</v>
      </c>
      <c r="G203" s="1">
        <v>-1.35</v>
      </c>
    </row>
    <row r="204" spans="1:7" x14ac:dyDescent="0.2">
      <c r="A204" s="1">
        <v>201205</v>
      </c>
      <c r="B204" s="1">
        <v>0.53</v>
      </c>
      <c r="C204" s="1">
        <v>-6.29</v>
      </c>
      <c r="D204" s="1">
        <v>-11.21</v>
      </c>
      <c r="E204" s="1">
        <v>-1.1399999999999999</v>
      </c>
      <c r="F204" s="1">
        <v>-9.61</v>
      </c>
      <c r="G204" s="1">
        <v>-6.8</v>
      </c>
    </row>
    <row r="205" spans="1:7" x14ac:dyDescent="0.2">
      <c r="A205" s="1">
        <v>201206</v>
      </c>
      <c r="B205" s="1">
        <v>6.9</v>
      </c>
      <c r="C205" s="1">
        <v>14.28</v>
      </c>
      <c r="D205" s="1">
        <v>-0.1</v>
      </c>
      <c r="E205" s="1">
        <v>6.94</v>
      </c>
      <c r="F205" s="1">
        <v>5.19</v>
      </c>
      <c r="G205" s="1">
        <v>2.98</v>
      </c>
    </row>
    <row r="206" spans="1:7" x14ac:dyDescent="0.2">
      <c r="A206" s="1">
        <v>201207</v>
      </c>
      <c r="B206" s="1">
        <v>2.93</v>
      </c>
      <c r="C206" s="1">
        <v>-4.51</v>
      </c>
      <c r="D206" s="1">
        <v>1.22</v>
      </c>
      <c r="E206" s="1">
        <v>3.61</v>
      </c>
      <c r="F206" s="1">
        <v>-0.18</v>
      </c>
      <c r="G206" s="1">
        <v>-3.28</v>
      </c>
    </row>
    <row r="207" spans="1:7" x14ac:dyDescent="0.2">
      <c r="A207" s="1">
        <v>201208</v>
      </c>
      <c r="B207" s="1">
        <v>2.12</v>
      </c>
      <c r="C207" s="1">
        <v>6.95</v>
      </c>
      <c r="D207" s="1">
        <v>4.04</v>
      </c>
      <c r="E207" s="1">
        <v>0.91</v>
      </c>
      <c r="F207" s="1">
        <v>2.86</v>
      </c>
      <c r="G207" s="1">
        <v>5.91</v>
      </c>
    </row>
    <row r="208" spans="1:7" x14ac:dyDescent="0.2">
      <c r="A208" s="1">
        <v>201209</v>
      </c>
      <c r="B208" s="1">
        <v>4.67</v>
      </c>
      <c r="C208" s="1">
        <v>8.27</v>
      </c>
      <c r="D208" s="1">
        <v>1.81</v>
      </c>
      <c r="E208" s="1">
        <v>4.58</v>
      </c>
      <c r="F208" s="1">
        <v>4.5</v>
      </c>
      <c r="G208" s="1">
        <v>1.24</v>
      </c>
    </row>
    <row r="209" spans="1:7" x14ac:dyDescent="0.2">
      <c r="A209" s="1">
        <v>201210</v>
      </c>
      <c r="B209" s="1">
        <v>-5.21</v>
      </c>
      <c r="C209" s="1">
        <v>-6.36</v>
      </c>
      <c r="D209" s="1">
        <v>-0.89</v>
      </c>
      <c r="E209" s="1">
        <v>-2.4900000000000002</v>
      </c>
      <c r="F209" s="1">
        <v>1.22</v>
      </c>
      <c r="G209" s="1">
        <v>3.03</v>
      </c>
    </row>
    <row r="210" spans="1:7" x14ac:dyDescent="0.2">
      <c r="A210" s="1">
        <v>201211</v>
      </c>
      <c r="B210" s="1">
        <v>5.85</v>
      </c>
      <c r="C210" s="1">
        <v>3.97</v>
      </c>
      <c r="D210" s="1">
        <v>1.47</v>
      </c>
      <c r="E210" s="1">
        <v>-0.01</v>
      </c>
      <c r="F210" s="1">
        <v>-0.66</v>
      </c>
      <c r="G210" s="1">
        <v>-2.13</v>
      </c>
    </row>
    <row r="211" spans="1:7" x14ac:dyDescent="0.2">
      <c r="A211" s="1">
        <v>201212</v>
      </c>
      <c r="B211" s="1">
        <v>2.97</v>
      </c>
      <c r="C211" s="1">
        <v>1.71</v>
      </c>
      <c r="D211" s="1">
        <v>3.86</v>
      </c>
      <c r="E211" s="1">
        <v>0.88</v>
      </c>
      <c r="F211" s="1">
        <v>5.08</v>
      </c>
      <c r="G211" s="1">
        <v>1.43</v>
      </c>
    </row>
    <row r="212" spans="1:7" x14ac:dyDescent="0.2">
      <c r="A212" s="1">
        <v>201301</v>
      </c>
      <c r="B212" s="1">
        <v>6.62</v>
      </c>
      <c r="C212" s="1">
        <v>9.6</v>
      </c>
      <c r="D212" s="1">
        <v>8.09</v>
      </c>
      <c r="E212" s="1">
        <v>4.29</v>
      </c>
      <c r="F212" s="1">
        <v>4.18</v>
      </c>
      <c r="G212" s="1">
        <v>6.49</v>
      </c>
    </row>
    <row r="213" spans="1:7" x14ac:dyDescent="0.2">
      <c r="A213" s="1">
        <v>201302</v>
      </c>
      <c r="B213" s="1">
        <v>-0.41</v>
      </c>
      <c r="C213" s="1">
        <v>0.77</v>
      </c>
      <c r="D213" s="1">
        <v>-1.27</v>
      </c>
      <c r="E213" s="1">
        <v>2.15</v>
      </c>
      <c r="F213" s="1">
        <v>1.2</v>
      </c>
      <c r="G213" s="1">
        <v>0.66</v>
      </c>
    </row>
    <row r="214" spans="1:7" x14ac:dyDescent="0.2">
      <c r="A214" s="1">
        <v>201303</v>
      </c>
      <c r="B214" s="1">
        <v>4.59</v>
      </c>
      <c r="C214" s="1">
        <v>5.83</v>
      </c>
      <c r="D214" s="1">
        <v>0.16</v>
      </c>
      <c r="E214" s="1">
        <v>5.44</v>
      </c>
      <c r="F214" s="1">
        <v>4.38</v>
      </c>
      <c r="G214" s="1">
        <v>5.0199999999999996</v>
      </c>
    </row>
    <row r="215" spans="1:7" x14ac:dyDescent="0.2">
      <c r="A215" s="1">
        <v>201304</v>
      </c>
      <c r="B215" s="1">
        <v>1.04</v>
      </c>
      <c r="C215" s="1">
        <v>-0.34</v>
      </c>
      <c r="D215" s="1">
        <v>-1.28</v>
      </c>
      <c r="E215" s="1">
        <v>3.95</v>
      </c>
      <c r="F215" s="1">
        <v>1.08</v>
      </c>
      <c r="G215" s="1">
        <v>3.5</v>
      </c>
    </row>
    <row r="216" spans="1:7" x14ac:dyDescent="0.2">
      <c r="A216" s="1">
        <v>201305</v>
      </c>
      <c r="B216" s="1">
        <v>-5.05</v>
      </c>
      <c r="C216" s="1">
        <v>4.5199999999999996</v>
      </c>
      <c r="D216" s="1">
        <v>5.12</v>
      </c>
      <c r="E216" s="1">
        <v>-2.08</v>
      </c>
      <c r="F216" s="1">
        <v>7.94</v>
      </c>
      <c r="G216" s="1">
        <v>4.24</v>
      </c>
    </row>
    <row r="217" spans="1:7" x14ac:dyDescent="0.2">
      <c r="A217" s="1">
        <v>201306</v>
      </c>
      <c r="B217" s="1">
        <v>-0.97</v>
      </c>
      <c r="C217" s="1">
        <v>-1.39</v>
      </c>
      <c r="D217" s="1">
        <v>-3.71</v>
      </c>
      <c r="E217" s="1">
        <v>1.84</v>
      </c>
      <c r="F217" s="1">
        <v>-0.7</v>
      </c>
      <c r="G217" s="1">
        <v>1.44</v>
      </c>
    </row>
    <row r="218" spans="1:7" x14ac:dyDescent="0.2">
      <c r="A218" s="1">
        <v>201307</v>
      </c>
      <c r="B218" s="1">
        <v>0.86</v>
      </c>
      <c r="C218" s="1">
        <v>1.74</v>
      </c>
      <c r="D218" s="1">
        <v>4.37</v>
      </c>
      <c r="E218" s="1">
        <v>3.3</v>
      </c>
      <c r="F218" s="1">
        <v>6.18</v>
      </c>
      <c r="G218" s="1">
        <v>5.9</v>
      </c>
    </row>
    <row r="219" spans="1:7" x14ac:dyDescent="0.2">
      <c r="A219" s="1">
        <v>201308</v>
      </c>
      <c r="B219" s="1">
        <v>-1.26</v>
      </c>
      <c r="C219" s="1">
        <v>-4.0199999999999996</v>
      </c>
      <c r="D219" s="1">
        <v>-0.99</v>
      </c>
      <c r="E219" s="1">
        <v>-3.35</v>
      </c>
      <c r="F219" s="1">
        <v>-4.82</v>
      </c>
      <c r="G219" s="1">
        <v>-2.84</v>
      </c>
    </row>
    <row r="220" spans="1:7" x14ac:dyDescent="0.2">
      <c r="A220" s="1">
        <v>201309</v>
      </c>
      <c r="B220" s="1">
        <v>6.16</v>
      </c>
      <c r="C220" s="1">
        <v>6.21</v>
      </c>
      <c r="D220" s="1">
        <v>6.08</v>
      </c>
      <c r="E220" s="1">
        <v>3.96</v>
      </c>
      <c r="F220" s="1">
        <v>2.54</v>
      </c>
      <c r="G220" s="1">
        <v>3.26</v>
      </c>
    </row>
    <row r="221" spans="1:7" x14ac:dyDescent="0.2">
      <c r="A221" s="1">
        <v>201310</v>
      </c>
      <c r="B221" s="1">
        <v>0.67</v>
      </c>
      <c r="C221" s="1">
        <v>4.04</v>
      </c>
      <c r="D221" s="1">
        <v>1.42</v>
      </c>
      <c r="E221" s="1">
        <v>5.25</v>
      </c>
      <c r="F221" s="1">
        <v>2.78</v>
      </c>
      <c r="G221" s="1">
        <v>2.58</v>
      </c>
    </row>
    <row r="222" spans="1:7" x14ac:dyDescent="0.2">
      <c r="A222" s="1">
        <v>201311</v>
      </c>
      <c r="B222" s="1">
        <v>7.64</v>
      </c>
      <c r="C222" s="1">
        <v>2.06</v>
      </c>
      <c r="D222" s="1">
        <v>1.51</v>
      </c>
      <c r="E222" s="1">
        <v>0.39</v>
      </c>
      <c r="F222" s="1">
        <v>6.23</v>
      </c>
      <c r="G222" s="1">
        <v>5.36</v>
      </c>
    </row>
    <row r="223" spans="1:7" x14ac:dyDescent="0.2">
      <c r="A223" s="1">
        <v>201312</v>
      </c>
      <c r="B223" s="1">
        <v>3.1</v>
      </c>
      <c r="C223" s="1">
        <v>-1.43</v>
      </c>
      <c r="D223" s="1">
        <v>5.12</v>
      </c>
      <c r="E223" s="1">
        <v>3.49</v>
      </c>
      <c r="F223" s="1">
        <v>2.78</v>
      </c>
      <c r="G223" s="1">
        <v>1.47</v>
      </c>
    </row>
    <row r="224" spans="1:7" x14ac:dyDescent="0.2">
      <c r="A224" s="1">
        <v>201401</v>
      </c>
      <c r="B224" s="1">
        <v>-8.36</v>
      </c>
      <c r="C224" s="1">
        <v>1.46</v>
      </c>
      <c r="D224" s="1">
        <v>-4.46</v>
      </c>
      <c r="E224" s="1">
        <v>-4.28</v>
      </c>
      <c r="F224" s="1">
        <v>-3.64</v>
      </c>
      <c r="G224" s="1">
        <v>-5.46</v>
      </c>
    </row>
    <row r="225" spans="1:7" x14ac:dyDescent="0.2">
      <c r="A225" s="1">
        <v>201402</v>
      </c>
      <c r="B225" s="1">
        <v>3</v>
      </c>
      <c r="C225" s="1">
        <v>3.4</v>
      </c>
      <c r="D225" s="1">
        <v>5.59</v>
      </c>
      <c r="E225" s="1">
        <v>2.73</v>
      </c>
      <c r="F225" s="1">
        <v>2.84</v>
      </c>
      <c r="G225" s="1">
        <v>3.64</v>
      </c>
    </row>
    <row r="226" spans="1:7" x14ac:dyDescent="0.2">
      <c r="A226" s="1">
        <v>201403</v>
      </c>
      <c r="B226" s="1">
        <v>3.73</v>
      </c>
      <c r="C226" s="1">
        <v>2.12</v>
      </c>
      <c r="D226" s="1">
        <v>0.88</v>
      </c>
      <c r="E226" s="1">
        <v>-0.11</v>
      </c>
      <c r="F226" s="1">
        <v>2.9</v>
      </c>
      <c r="G226" s="1">
        <v>2</v>
      </c>
    </row>
    <row r="227" spans="1:7" x14ac:dyDescent="0.2">
      <c r="A227" s="1">
        <v>201404</v>
      </c>
      <c r="B227" s="1">
        <v>-2.96</v>
      </c>
      <c r="C227" s="1">
        <v>-1.1100000000000001</v>
      </c>
      <c r="D227" s="1">
        <v>1</v>
      </c>
      <c r="E227" s="1">
        <v>-0.12</v>
      </c>
      <c r="F227" s="1">
        <v>-4.79</v>
      </c>
      <c r="G227" s="1">
        <v>-1.58</v>
      </c>
    </row>
    <row r="228" spans="1:7" x14ac:dyDescent="0.2">
      <c r="A228" s="1">
        <v>201405</v>
      </c>
      <c r="B228" s="1">
        <v>9.86</v>
      </c>
      <c r="C228" s="1">
        <v>3.55</v>
      </c>
      <c r="D228" s="1">
        <v>0.45</v>
      </c>
      <c r="E228" s="1">
        <v>4.01</v>
      </c>
      <c r="F228" s="1">
        <v>1.56</v>
      </c>
      <c r="G228" s="1">
        <v>2.86</v>
      </c>
    </row>
    <row r="229" spans="1:7" x14ac:dyDescent="0.2">
      <c r="A229" s="1">
        <v>201406</v>
      </c>
      <c r="B229" s="1">
        <v>2.56</v>
      </c>
      <c r="C229" s="1">
        <v>3.2</v>
      </c>
      <c r="D229" s="1">
        <v>5.17</v>
      </c>
      <c r="E229" s="1">
        <v>1.47</v>
      </c>
      <c r="F229" s="1">
        <v>2.58</v>
      </c>
      <c r="G229" s="1">
        <v>2.33</v>
      </c>
    </row>
    <row r="230" spans="1:7" x14ac:dyDescent="0.2">
      <c r="A230" s="1">
        <v>201407</v>
      </c>
      <c r="B230" s="1">
        <v>-8.51</v>
      </c>
      <c r="C230" s="1">
        <v>6.3</v>
      </c>
      <c r="D230" s="1">
        <v>-6.4</v>
      </c>
      <c r="E230" s="1">
        <v>0.19</v>
      </c>
      <c r="F230" s="1">
        <v>-1.72</v>
      </c>
      <c r="G230" s="1">
        <v>-3.83</v>
      </c>
    </row>
    <row r="231" spans="1:7" x14ac:dyDescent="0.2">
      <c r="A231" s="1">
        <v>201408</v>
      </c>
      <c r="B231" s="1">
        <v>3.12</v>
      </c>
      <c r="C231" s="1">
        <v>4.6399999999999997</v>
      </c>
      <c r="D231" s="1">
        <v>5.0999999999999996</v>
      </c>
      <c r="E231" s="1">
        <v>0.43</v>
      </c>
      <c r="F231" s="1">
        <v>2.4300000000000002</v>
      </c>
      <c r="G231" s="1">
        <v>5.82</v>
      </c>
    </row>
    <row r="232" spans="1:7" x14ac:dyDescent="0.2">
      <c r="A232" s="1">
        <v>201409</v>
      </c>
      <c r="B232" s="1">
        <v>-2.41</v>
      </c>
      <c r="C232" s="1">
        <v>-3.63</v>
      </c>
      <c r="D232" s="1">
        <v>-7.17</v>
      </c>
      <c r="E232" s="1">
        <v>-1.79</v>
      </c>
      <c r="F232" s="1">
        <v>-0.02</v>
      </c>
      <c r="G232" s="1">
        <v>-2.15</v>
      </c>
    </row>
    <row r="233" spans="1:7" x14ac:dyDescent="0.2">
      <c r="A233" s="1">
        <v>201410</v>
      </c>
      <c r="B233" s="1">
        <v>2.85</v>
      </c>
      <c r="C233" s="1">
        <v>4.41</v>
      </c>
      <c r="D233" s="1">
        <v>2.4</v>
      </c>
      <c r="E233" s="1">
        <v>1.1000000000000001</v>
      </c>
      <c r="F233" s="1">
        <v>3.67</v>
      </c>
      <c r="G233" s="1">
        <v>5</v>
      </c>
    </row>
    <row r="234" spans="1:7" x14ac:dyDescent="0.2">
      <c r="A234" s="1">
        <v>201411</v>
      </c>
      <c r="B234" s="1">
        <v>3.71</v>
      </c>
      <c r="C234" s="1">
        <v>-1.36</v>
      </c>
      <c r="D234" s="1">
        <v>-1.27</v>
      </c>
      <c r="E234" s="1">
        <v>3.02</v>
      </c>
      <c r="F234" s="1">
        <v>1.47</v>
      </c>
      <c r="G234" s="1">
        <v>1.82</v>
      </c>
    </row>
    <row r="235" spans="1:7" x14ac:dyDescent="0.2">
      <c r="A235" s="1">
        <v>201412</v>
      </c>
      <c r="B235" s="1">
        <v>-7.0000000000000007E-2</v>
      </c>
      <c r="C235" s="1">
        <v>3.53</v>
      </c>
      <c r="D235" s="1">
        <v>-1.3</v>
      </c>
      <c r="E235" s="1">
        <v>-2.02</v>
      </c>
      <c r="F235" s="1">
        <v>1.81</v>
      </c>
      <c r="G235" s="1">
        <v>1.6</v>
      </c>
    </row>
    <row r="236" spans="1:7" x14ac:dyDescent="0.2">
      <c r="A236" s="1">
        <v>201501</v>
      </c>
      <c r="B236" s="1">
        <v>-1.28</v>
      </c>
      <c r="C236" s="1">
        <v>-2.5499999999999998</v>
      </c>
      <c r="D236" s="1">
        <v>-7.59</v>
      </c>
      <c r="E236" s="1">
        <v>-5.14</v>
      </c>
      <c r="F236" s="1">
        <v>-9.41</v>
      </c>
      <c r="G236" s="1">
        <v>-4.34</v>
      </c>
    </row>
    <row r="237" spans="1:7" x14ac:dyDescent="0.2">
      <c r="A237" s="1">
        <v>201502</v>
      </c>
      <c r="B237" s="1">
        <v>2.08</v>
      </c>
      <c r="C237" s="1">
        <v>4.37</v>
      </c>
      <c r="D237" s="1">
        <v>6.43</v>
      </c>
      <c r="E237" s="1">
        <v>9.0399999999999991</v>
      </c>
      <c r="F237" s="1">
        <v>7.78</v>
      </c>
      <c r="G237" s="1">
        <v>7.46</v>
      </c>
    </row>
    <row r="238" spans="1:7" x14ac:dyDescent="0.2">
      <c r="A238" s="1">
        <v>201503</v>
      </c>
      <c r="B238" s="1">
        <v>-5.65</v>
      </c>
      <c r="C238" s="1">
        <v>5.0599999999999996</v>
      </c>
      <c r="D238" s="1">
        <v>-3.92</v>
      </c>
      <c r="E238" s="1">
        <v>-2.41</v>
      </c>
      <c r="F238" s="1">
        <v>-0.95</v>
      </c>
      <c r="G238" s="1">
        <v>2.08</v>
      </c>
    </row>
    <row r="239" spans="1:7" x14ac:dyDescent="0.2">
      <c r="A239" s="1">
        <v>201504</v>
      </c>
      <c r="B239" s="1">
        <v>1.04</v>
      </c>
      <c r="C239" s="1">
        <v>-1.69</v>
      </c>
      <c r="D239" s="1">
        <v>2.31</v>
      </c>
      <c r="E239" s="1">
        <v>3.02</v>
      </c>
      <c r="F239" s="1">
        <v>2</v>
      </c>
      <c r="G239" s="1">
        <v>-1.82</v>
      </c>
    </row>
    <row r="240" spans="1:7" x14ac:dyDescent="0.2">
      <c r="A240" s="1">
        <v>201505</v>
      </c>
      <c r="B240" s="1">
        <v>3.43</v>
      </c>
      <c r="C240" s="1">
        <v>5.08</v>
      </c>
      <c r="D240" s="1">
        <v>0.27</v>
      </c>
      <c r="E240" s="1">
        <v>0.7</v>
      </c>
      <c r="F240" s="1">
        <v>2.41</v>
      </c>
      <c r="G240" s="1">
        <v>4.5</v>
      </c>
    </row>
    <row r="241" spans="1:7" x14ac:dyDescent="0.2">
      <c r="A241" s="1">
        <v>201506</v>
      </c>
      <c r="B241" s="1">
        <v>-7.96</v>
      </c>
      <c r="C241" s="1">
        <v>5.28</v>
      </c>
      <c r="D241" s="1">
        <v>-1.6</v>
      </c>
      <c r="E241" s="1">
        <v>-0.54</v>
      </c>
      <c r="F241" s="1">
        <v>1.56</v>
      </c>
      <c r="G241" s="1">
        <v>1.98</v>
      </c>
    </row>
    <row r="242" spans="1:7" x14ac:dyDescent="0.2">
      <c r="A242" s="1">
        <v>201507</v>
      </c>
      <c r="B242" s="1">
        <v>-2.78</v>
      </c>
      <c r="C242" s="1">
        <v>1.75</v>
      </c>
      <c r="D242" s="1">
        <v>-6.05</v>
      </c>
      <c r="E242" s="1">
        <v>1</v>
      </c>
      <c r="F242" s="1">
        <v>2.54</v>
      </c>
      <c r="G242" s="1">
        <v>1.61</v>
      </c>
    </row>
    <row r="243" spans="1:7" x14ac:dyDescent="0.2">
      <c r="A243" s="1">
        <v>201508</v>
      </c>
      <c r="B243" s="1">
        <v>-4.5999999999999996</v>
      </c>
      <c r="C243" s="1">
        <v>-6.44</v>
      </c>
      <c r="D243" s="1">
        <v>-4.0599999999999996</v>
      </c>
      <c r="E243" s="1">
        <v>-8.3699999999999992</v>
      </c>
      <c r="F243" s="1">
        <v>-6.51</v>
      </c>
      <c r="G243" s="1">
        <v>-5.72</v>
      </c>
    </row>
    <row r="244" spans="1:7" x14ac:dyDescent="0.2">
      <c r="A244" s="1">
        <v>201509</v>
      </c>
      <c r="B244" s="1">
        <v>-11.22</v>
      </c>
      <c r="C244" s="1">
        <v>-9.8800000000000008</v>
      </c>
      <c r="D244" s="1">
        <v>-9.23</v>
      </c>
      <c r="E244" s="1">
        <v>-2.84</v>
      </c>
      <c r="F244" s="1">
        <v>-3.38</v>
      </c>
      <c r="G244" s="1">
        <v>-2.19</v>
      </c>
    </row>
    <row r="245" spans="1:7" x14ac:dyDescent="0.2">
      <c r="A245" s="1">
        <v>201510</v>
      </c>
      <c r="B245" s="1">
        <v>8.06</v>
      </c>
      <c r="C245" s="1">
        <v>-4.45</v>
      </c>
      <c r="D245" s="1">
        <v>8.5299999999999994</v>
      </c>
      <c r="E245" s="1">
        <v>8.43</v>
      </c>
      <c r="F245" s="1">
        <v>5.44</v>
      </c>
      <c r="G245" s="1">
        <v>5.18</v>
      </c>
    </row>
    <row r="246" spans="1:7" x14ac:dyDescent="0.2">
      <c r="A246" s="1">
        <v>201511</v>
      </c>
      <c r="B246" s="1">
        <v>1.87</v>
      </c>
      <c r="C246" s="1">
        <v>0.77</v>
      </c>
      <c r="D246" s="1">
        <v>1.95</v>
      </c>
      <c r="E246" s="1">
        <v>-2.1</v>
      </c>
      <c r="F246" s="1">
        <v>2.88</v>
      </c>
      <c r="G246" s="1">
        <v>-0.43</v>
      </c>
    </row>
    <row r="247" spans="1:7" x14ac:dyDescent="0.2">
      <c r="A247" s="1">
        <v>201512</v>
      </c>
      <c r="B247" s="1">
        <v>2.15</v>
      </c>
      <c r="C247" s="1">
        <v>-2.48</v>
      </c>
      <c r="D247" s="1">
        <v>-6.26</v>
      </c>
      <c r="E247" s="1">
        <v>-3.13</v>
      </c>
      <c r="F247" s="1">
        <v>-3.27</v>
      </c>
      <c r="G247" s="1">
        <v>-0.94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workbookViewId="0">
      <selection activeCell="F5" sqref="F5"/>
    </sheetView>
  </sheetViews>
  <sheetFormatPr baseColWidth="10" defaultColWidth="9" defaultRowHeight="19" x14ac:dyDescent="0.25"/>
  <cols>
    <col min="1" max="1" width="9.83203125" style="4" customWidth="1"/>
    <col min="2" max="2" width="8.83203125" style="4" customWidth="1"/>
    <col min="3" max="3" width="9.83203125" style="4" customWidth="1"/>
    <col min="4" max="4" width="10.33203125" style="4" customWidth="1"/>
    <col min="5" max="5" width="10.83203125" style="4" customWidth="1"/>
    <col min="6" max="7" width="12" style="4" customWidth="1"/>
    <col min="8" max="8" width="10.1640625" style="4" customWidth="1"/>
    <col min="9" max="9" width="9.6640625" style="4" customWidth="1"/>
    <col min="10" max="10" width="8.33203125" style="4" customWidth="1"/>
    <col min="11" max="11" width="10.83203125" style="4" customWidth="1"/>
    <col min="12" max="16384" width="9" style="4"/>
  </cols>
  <sheetData>
    <row r="1" spans="1:18" ht="20" thickBo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16</v>
      </c>
      <c r="G1" s="17"/>
      <c r="H1" s="17"/>
    </row>
    <row r="2" spans="1:18" ht="20" thickBot="1" x14ac:dyDescent="0.3">
      <c r="A2" s="5" t="s">
        <v>9</v>
      </c>
      <c r="B2" s="5"/>
      <c r="C2" s="6"/>
      <c r="D2" s="6"/>
      <c r="E2" s="6"/>
      <c r="F2" s="6"/>
      <c r="G2" s="18"/>
      <c r="H2" s="18"/>
    </row>
    <row r="3" spans="1:18" x14ac:dyDescent="0.25">
      <c r="A3" s="9">
        <f>AVERAGE(data!B8:'data'!B247)</f>
        <v>0.88733333333333397</v>
      </c>
      <c r="B3" s="9">
        <f>AVERAGE(data!C8:'data'!C247)</f>
        <v>0.65604166666666675</v>
      </c>
      <c r="C3" s="9">
        <f>AVERAGE(data!D8:'data'!D247)</f>
        <v>0.8334583333333333</v>
      </c>
      <c r="D3" s="9">
        <f>AVERAGE(data!E8:'data'!E247)</f>
        <v>0.435</v>
      </c>
      <c r="E3" s="9">
        <f>AVERAGE(data!F8:'data'!F247)</f>
        <v>0.5719166666666663</v>
      </c>
      <c r="F3" s="9">
        <f>AVERAGE(data!G8:'data'!G247)</f>
        <v>0.74837500000000001</v>
      </c>
      <c r="G3" s="19"/>
      <c r="H3" s="19"/>
    </row>
    <row r="5" spans="1:18" ht="20" thickBot="1" x14ac:dyDescent="0.3">
      <c r="A5" s="7" t="s">
        <v>15</v>
      </c>
      <c r="B5" s="7"/>
      <c r="C5" s="7"/>
      <c r="D5" s="8"/>
      <c r="E5" s="8"/>
      <c r="F5" s="8"/>
      <c r="G5" s="18"/>
      <c r="H5" s="18"/>
    </row>
    <row r="6" spans="1:18" x14ac:dyDescent="0.25">
      <c r="A6" s="10">
        <f>_xlfn.COVARIANCE.S(data!$B$8:$B$247,data!B8:B247)</f>
        <v>44.123884072524397</v>
      </c>
      <c r="B6" s="10">
        <f>_xlfn.COVARIANCE.S(data!$B$8:$B$247,data!C8:C247)</f>
        <v>11.313263040446307</v>
      </c>
      <c r="C6" s="10">
        <f>_xlfn.COVARIANCE.S(data!$B$8:$B$247,data!D8:D247)</f>
        <v>21.88411093444909</v>
      </c>
      <c r="D6" s="10">
        <f>_xlfn.COVARIANCE.S(data!$B$8:$B$247,data!E8:E247)</f>
        <v>10.664132217573231</v>
      </c>
      <c r="E6" s="10">
        <f>_xlfn.COVARIANCE.S(data!$B$8:$B$247,data!F8:F247)</f>
        <v>12.943097601115753</v>
      </c>
      <c r="F6" s="10">
        <f>_xlfn.COVARIANCE.S(data!$B$8:$B$247,data!G8:G247)</f>
        <v>12.096153807531389</v>
      </c>
      <c r="G6" s="20"/>
      <c r="H6" s="20"/>
      <c r="J6" s="12">
        <f t="array" ref="J6:O11">TRANSPOSE(A6:F11)</f>
        <v>44.123884072524397</v>
      </c>
      <c r="K6" s="12">
        <v>11.313263040446307</v>
      </c>
      <c r="L6" s="12">
        <v>21.88411093444909</v>
      </c>
      <c r="M6" s="12">
        <v>10.664132217573231</v>
      </c>
      <c r="N6" s="12">
        <v>12.943097601115753</v>
      </c>
      <c r="O6" s="12">
        <v>12.096153807531389</v>
      </c>
    </row>
    <row r="7" spans="1:18" x14ac:dyDescent="0.25">
      <c r="A7" s="11">
        <f>J7</f>
        <v>11.313263040446307</v>
      </c>
      <c r="B7" s="11">
        <f>_xlfn.COVARIANCE.S(data!$C$8:$C$247,data!C8:C247)</f>
        <v>41.506507697001346</v>
      </c>
      <c r="C7" s="11">
        <f>_xlfn.COVARIANCE.S(data!$C$8:$C$247,data!D8:D247)</f>
        <v>20.921406633542549</v>
      </c>
      <c r="D7" s="11">
        <f>_xlfn.COVARIANCE.S(data!$C$8:$C$247,data!E8:E247)</f>
        <v>10.122217782426773</v>
      </c>
      <c r="E7" s="11">
        <f>_xlfn.COVARIANCE.S(data!$C$8:$C$247,data!F8:F247)</f>
        <v>20.585919752440724</v>
      </c>
      <c r="F7" s="11">
        <f>_xlfn.COVARIANCE.S(data!$C$8:$C$247,data!G8:G247)</f>
        <v>22.617949607740588</v>
      </c>
      <c r="G7" s="20"/>
      <c r="H7" s="20"/>
      <c r="J7" s="28">
        <v>11.313263040446307</v>
      </c>
      <c r="K7" s="12">
        <v>41.506507697001346</v>
      </c>
      <c r="L7" s="12">
        <v>20.921406633542549</v>
      </c>
      <c r="M7" s="12">
        <v>10.122217782426773</v>
      </c>
      <c r="N7" s="12">
        <v>20.585919752440724</v>
      </c>
      <c r="O7" s="12">
        <v>22.617949607740588</v>
      </c>
    </row>
    <row r="8" spans="1:18" x14ac:dyDescent="0.25">
      <c r="A8" s="11">
        <f t="shared" ref="A8:E11" si="0">J8</f>
        <v>21.88411093444909</v>
      </c>
      <c r="B8" s="11">
        <f t="shared" si="0"/>
        <v>20.921406633542549</v>
      </c>
      <c r="C8" s="11">
        <f>_xlfn.COVARIANCE.S(data!$D$8:$D$247,data!D8:D247)</f>
        <v>50.559603471059958</v>
      </c>
      <c r="D8" s="11">
        <f>_xlfn.COVARIANCE.S(data!$D$8:$D$247,data!E8:E247)</f>
        <v>24.329109414225968</v>
      </c>
      <c r="E8" s="11">
        <f>_xlfn.COVARIANCE.S(data!$D$8:$D$247,data!F8:F247)</f>
        <v>26.213092506973503</v>
      </c>
      <c r="F8" s="11">
        <f>_xlfn.COVARIANCE.S(data!$D$8:$D$247,data!G8:G247)</f>
        <v>24.223353760460252</v>
      </c>
      <c r="G8" s="20"/>
      <c r="H8" s="20"/>
      <c r="J8" s="28">
        <v>21.88411093444909</v>
      </c>
      <c r="K8" s="28">
        <v>20.921406633542549</v>
      </c>
      <c r="L8" s="12">
        <v>50.559603471059958</v>
      </c>
      <c r="M8" s="12">
        <v>24.329109414225968</v>
      </c>
      <c r="N8" s="12">
        <v>26.213092506973503</v>
      </c>
      <c r="O8" s="12">
        <v>24.223353760460252</v>
      </c>
    </row>
    <row r="9" spans="1:18" x14ac:dyDescent="0.25">
      <c r="A9" s="11">
        <f t="shared" si="0"/>
        <v>10.664132217573231</v>
      </c>
      <c r="B9" s="11">
        <f t="shared" si="0"/>
        <v>10.122217782426773</v>
      </c>
      <c r="C9" s="11">
        <f t="shared" si="0"/>
        <v>24.329109414225968</v>
      </c>
      <c r="D9" s="11">
        <f>_xlfn.COVARIANCE.S(data!$E$8:$E$247,data!E8:E247)</f>
        <v>29.873774058577407</v>
      </c>
      <c r="E9" s="11">
        <f>_xlfn.COVARIANCE.S(data!$E$8:$E$247,data!F8:F247)</f>
        <v>19.251461506276161</v>
      </c>
      <c r="F9" s="11">
        <f>_xlfn.COVARIANCE.S(data!$E$8:$E$247,data!G8:G247)</f>
        <v>17.042694769874466</v>
      </c>
      <c r="G9" s="20"/>
      <c r="H9" s="20"/>
      <c r="J9" s="28">
        <v>10.664132217573231</v>
      </c>
      <c r="K9" s="28">
        <v>10.122217782426773</v>
      </c>
      <c r="L9" s="28">
        <v>24.329109414225968</v>
      </c>
      <c r="M9" s="12">
        <v>29.873774058577407</v>
      </c>
      <c r="N9" s="12">
        <v>19.251461506276161</v>
      </c>
      <c r="O9" s="12">
        <v>17.042694769874466</v>
      </c>
    </row>
    <row r="10" spans="1:18" x14ac:dyDescent="0.25">
      <c r="A10" s="11">
        <f t="shared" si="0"/>
        <v>12.943097601115753</v>
      </c>
      <c r="B10" s="11">
        <f t="shared" si="0"/>
        <v>20.585919752440724</v>
      </c>
      <c r="C10" s="11">
        <f t="shared" si="0"/>
        <v>26.213092506973503</v>
      </c>
      <c r="D10" s="11">
        <f t="shared" si="0"/>
        <v>19.251461506276161</v>
      </c>
      <c r="E10" s="10">
        <f>_xlfn.COVARIANCE.S(data!$F$8:$F$247,data!F8:F247)</f>
        <v>39.602826436541115</v>
      </c>
      <c r="F10" s="10">
        <f>_xlfn.COVARIANCE.S(data!$F$8:$F$247,data!G8:G247)</f>
        <v>28.421025721757321</v>
      </c>
      <c r="G10" s="20"/>
      <c r="H10" s="20"/>
      <c r="J10" s="28">
        <v>12.943097601115753</v>
      </c>
      <c r="K10" s="28">
        <v>20.585919752440724</v>
      </c>
      <c r="L10" s="28">
        <v>26.213092506973503</v>
      </c>
      <c r="M10" s="28">
        <v>19.251461506276161</v>
      </c>
      <c r="N10" s="12">
        <v>39.602826436541115</v>
      </c>
      <c r="O10" s="12">
        <v>28.421025721757321</v>
      </c>
    </row>
    <row r="11" spans="1:18" x14ac:dyDescent="0.25">
      <c r="A11" s="11">
        <f t="shared" si="0"/>
        <v>12.096153807531389</v>
      </c>
      <c r="B11" s="11">
        <f t="shared" si="0"/>
        <v>22.617949607740588</v>
      </c>
      <c r="C11" s="11">
        <f t="shared" si="0"/>
        <v>24.223353760460252</v>
      </c>
      <c r="D11" s="11">
        <f t="shared" si="0"/>
        <v>17.042694769874466</v>
      </c>
      <c r="E11" s="11">
        <f t="shared" si="0"/>
        <v>28.421025721757321</v>
      </c>
      <c r="F11" s="10">
        <f>_xlfn.COVARIANCE.S(data!$G$8:$G$247,data!G8:G247)</f>
        <v>31.154011992677809</v>
      </c>
      <c r="G11" s="20"/>
      <c r="H11" s="20"/>
      <c r="J11" s="28">
        <v>12.096153807531389</v>
      </c>
      <c r="K11" s="28">
        <v>22.617949607740588</v>
      </c>
      <c r="L11" s="28">
        <v>24.223353760460252</v>
      </c>
      <c r="M11" s="28">
        <v>17.042694769874466</v>
      </c>
      <c r="N11" s="28">
        <v>28.421025721757321</v>
      </c>
      <c r="O11" s="12">
        <v>31.154011992677809</v>
      </c>
    </row>
    <row r="12" spans="1:18" x14ac:dyDescent="0.25">
      <c r="A12" s="14" t="s">
        <v>31</v>
      </c>
      <c r="B12" s="14">
        <v>0.2</v>
      </c>
    </row>
    <row r="14" spans="1:18" ht="20" thickBot="1" x14ac:dyDescent="0.3">
      <c r="A14" s="23" t="s">
        <v>17</v>
      </c>
      <c r="B14" s="23" t="s">
        <v>18</v>
      </c>
      <c r="C14" s="23" t="s">
        <v>19</v>
      </c>
      <c r="D14" s="23" t="s">
        <v>20</v>
      </c>
      <c r="E14" s="23" t="s">
        <v>21</v>
      </c>
      <c r="F14" s="23" t="s">
        <v>22</v>
      </c>
      <c r="G14" s="23" t="s">
        <v>30</v>
      </c>
      <c r="H14" s="23" t="s">
        <v>27</v>
      </c>
      <c r="I14" s="23" t="s">
        <v>23</v>
      </c>
      <c r="J14" s="23" t="s">
        <v>24</v>
      </c>
      <c r="K14" s="29" t="s">
        <v>25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</row>
    <row r="15" spans="1:18" x14ac:dyDescent="0.25">
      <c r="A15" s="22">
        <v>0.37900818329022923</v>
      </c>
      <c r="B15" s="22">
        <v>-7.3752820346729489E-3</v>
      </c>
      <c r="C15" s="22">
        <v>0.19147611076929427</v>
      </c>
      <c r="D15" s="22">
        <v>-0.21817983330620758</v>
      </c>
      <c r="E15" s="22">
        <v>-0.36280660237071338</v>
      </c>
      <c r="F15" s="22">
        <v>0.7436013690115133</v>
      </c>
      <c r="G15" s="22">
        <v>0.27427603967120451</v>
      </c>
      <c r="H15" s="24">
        <f>SUM(A15:G15)</f>
        <v>0.99999998503064735</v>
      </c>
      <c r="I15" s="24">
        <f>SUMPRODUCT(A15:F15,$A$3:$F$3)+$B$12*G15</f>
        <v>0.79999997478380647</v>
      </c>
      <c r="J15" s="25">
        <v>0.8</v>
      </c>
      <c r="K15" s="26">
        <f>SUMPRODUCT(A15:F15,M15:R15)</f>
        <v>19.905043929420046</v>
      </c>
      <c r="M15" s="16">
        <f t="array" ref="M15:R15">MMULT(A15:F15,$A$6:$F$11)</f>
        <v>22.802335762407864</v>
      </c>
      <c r="N15" s="16">
        <v>15.129213547549126</v>
      </c>
      <c r="O15" s="16">
        <v>21.015027040139074</v>
      </c>
      <c r="P15" s="16">
        <v>7.7961411947377197</v>
      </c>
      <c r="Q15" s="16">
        <v>12.338360017652052</v>
      </c>
      <c r="R15" s="16">
        <v>18.192378975805351</v>
      </c>
    </row>
    <row r="16" spans="1:18" x14ac:dyDescent="0.25">
      <c r="A16" s="15">
        <v>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31"/>
      <c r="H16" s="24">
        <f t="shared" ref="H16:H25" si="1">SUM(A16:G16)</f>
        <v>0</v>
      </c>
      <c r="I16" s="24">
        <f t="shared" ref="I16:I25" si="2">SUMPRODUCT(A16:F16,$A$3:$F$3)+$B$12*G16</f>
        <v>0</v>
      </c>
      <c r="J16" s="15">
        <v>0.3</v>
      </c>
      <c r="K16" s="26">
        <f t="shared" ref="K16:K25" si="3">SUMPRODUCT(A16:F16,M16:R16)</f>
        <v>0</v>
      </c>
      <c r="M16" s="16">
        <f t="array" ref="M16:R16">MMULT(A16:F16,$A$6:$F$11)</f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</row>
    <row r="17" spans="1:18" x14ac:dyDescent="0.25">
      <c r="A17" s="15"/>
      <c r="B17" s="15"/>
      <c r="C17" s="15"/>
      <c r="D17" s="15"/>
      <c r="E17" s="15"/>
      <c r="F17" s="15"/>
      <c r="G17" s="31"/>
      <c r="H17" s="24">
        <f t="shared" si="1"/>
        <v>0</v>
      </c>
      <c r="I17" s="24">
        <f t="shared" si="2"/>
        <v>0</v>
      </c>
      <c r="J17" s="15">
        <v>0.4</v>
      </c>
      <c r="K17" s="26" t="e">
        <f t="shared" si="3"/>
        <v>#VALUE!</v>
      </c>
      <c r="M17" s="16" t="e">
        <f t="array" ref="M17:R17">MMULT(A17:F17,$A$6:$F$11)</f>
        <v>#VALUE!</v>
      </c>
      <c r="N17" s="16" t="e">
        <v>#VALUE!</v>
      </c>
      <c r="O17" s="16" t="e">
        <v>#VALUE!</v>
      </c>
      <c r="P17" s="16" t="e">
        <v>#VALUE!</v>
      </c>
      <c r="Q17" s="16" t="e">
        <v>#VALUE!</v>
      </c>
      <c r="R17" s="16" t="e">
        <v>#VALUE!</v>
      </c>
    </row>
    <row r="18" spans="1:18" x14ac:dyDescent="0.25">
      <c r="A18" s="15"/>
      <c r="B18" s="15"/>
      <c r="C18" s="15"/>
      <c r="D18" s="15"/>
      <c r="E18" s="15"/>
      <c r="F18" s="15"/>
      <c r="G18" s="31"/>
      <c r="H18" s="24">
        <f t="shared" si="1"/>
        <v>0</v>
      </c>
      <c r="I18" s="24">
        <f t="shared" si="2"/>
        <v>0</v>
      </c>
      <c r="J18" s="15">
        <v>0.5</v>
      </c>
      <c r="K18" s="26" t="e">
        <f t="shared" si="3"/>
        <v>#VALUE!</v>
      </c>
      <c r="M18" s="16" t="e">
        <f t="array" ref="M18:R18">MMULT(A18:F18,$A$6:$F$11)</f>
        <v>#VALUE!</v>
      </c>
      <c r="N18" s="16" t="e">
        <v>#VALUE!</v>
      </c>
      <c r="O18" s="16" t="e">
        <v>#VALUE!</v>
      </c>
      <c r="P18" s="16" t="e">
        <v>#VALUE!</v>
      </c>
      <c r="Q18" s="16" t="e">
        <v>#VALUE!</v>
      </c>
      <c r="R18" s="16" t="e">
        <v>#VALUE!</v>
      </c>
    </row>
    <row r="19" spans="1:18" x14ac:dyDescent="0.25">
      <c r="A19" s="15"/>
      <c r="B19" s="15"/>
      <c r="C19" s="15"/>
      <c r="D19" s="15"/>
      <c r="E19" s="15"/>
      <c r="F19" s="15"/>
      <c r="G19" s="31"/>
      <c r="H19" s="24">
        <f t="shared" si="1"/>
        <v>0</v>
      </c>
      <c r="I19" s="24">
        <f t="shared" si="2"/>
        <v>0</v>
      </c>
      <c r="J19" s="15">
        <v>0.6</v>
      </c>
      <c r="K19" s="26" t="e">
        <f t="shared" si="3"/>
        <v>#VALUE!</v>
      </c>
      <c r="M19" s="16" t="e">
        <f t="array" ref="M19:R19">MMULT(A19:F19,$A$6:$F$11)</f>
        <v>#VALUE!</v>
      </c>
      <c r="N19" s="16" t="e">
        <v>#VALUE!</v>
      </c>
      <c r="O19" s="16" t="e">
        <v>#VALUE!</v>
      </c>
      <c r="P19" s="16" t="e">
        <v>#VALUE!</v>
      </c>
      <c r="Q19" s="16" t="e">
        <v>#VALUE!</v>
      </c>
      <c r="R19" s="16" t="e">
        <v>#VALUE!</v>
      </c>
    </row>
    <row r="20" spans="1:18" x14ac:dyDescent="0.25">
      <c r="A20" s="15">
        <v>0.31584015355064698</v>
      </c>
      <c r="B20" s="15">
        <v>-6.146070523041852E-3</v>
      </c>
      <c r="C20" s="15">
        <v>0.15956343850876886</v>
      </c>
      <c r="D20" s="15">
        <v>-0.18181649851681647</v>
      </c>
      <c r="E20" s="15">
        <v>-0.30233880198838214</v>
      </c>
      <c r="F20" s="15">
        <v>0.61966780121167642</v>
      </c>
      <c r="G20" s="31">
        <v>0.39522998560649814</v>
      </c>
      <c r="H20" s="24">
        <f t="shared" si="1"/>
        <v>1.0000000078493501</v>
      </c>
      <c r="I20" s="24">
        <f t="shared" si="2"/>
        <v>0.70000000658275885</v>
      </c>
      <c r="J20" s="30">
        <v>0.7</v>
      </c>
      <c r="K20" s="26">
        <f t="shared" si="3"/>
        <v>13.822948474306589</v>
      </c>
      <c r="M20" s="16">
        <f t="array" ref="M20:R20">MMULT(A20:F20,$A$6:$F$11)</f>
        <v>19.001947428404435</v>
      </c>
      <c r="N20" s="16">
        <v>12.607678984408404</v>
      </c>
      <c r="O20" s="16">
        <v>17.512524588747929</v>
      </c>
      <c r="P20" s="16">
        <v>6.4967860363561112</v>
      </c>
      <c r="Q20" s="16">
        <v>10.281968688140143</v>
      </c>
      <c r="R20" s="16">
        <v>15.160317334878847</v>
      </c>
    </row>
    <row r="21" spans="1:18" x14ac:dyDescent="0.25">
      <c r="A21" s="15"/>
      <c r="B21" s="15"/>
      <c r="C21" s="15"/>
      <c r="D21" s="15"/>
      <c r="E21" s="15"/>
      <c r="F21" s="15"/>
      <c r="G21" s="31"/>
      <c r="H21" s="24">
        <f t="shared" si="1"/>
        <v>0</v>
      </c>
      <c r="I21" s="24">
        <f t="shared" si="2"/>
        <v>0</v>
      </c>
      <c r="J21" s="15">
        <v>0.8</v>
      </c>
      <c r="K21" s="26" t="e">
        <f t="shared" si="3"/>
        <v>#VALUE!</v>
      </c>
      <c r="M21" s="16" t="e">
        <f t="array" ref="M21:R21">MMULT(A21:F21,$A$6:$F$11)</f>
        <v>#VALUE!</v>
      </c>
      <c r="N21" s="16" t="e">
        <v>#VALUE!</v>
      </c>
      <c r="O21" s="16" t="e">
        <v>#VALUE!</v>
      </c>
      <c r="P21" s="16" t="e">
        <v>#VALUE!</v>
      </c>
      <c r="Q21" s="16" t="e">
        <v>#VALUE!</v>
      </c>
      <c r="R21" s="16" t="e">
        <v>#VALUE!</v>
      </c>
    </row>
    <row r="22" spans="1:18" x14ac:dyDescent="0.25">
      <c r="A22" s="15"/>
      <c r="B22" s="15"/>
      <c r="C22" s="15"/>
      <c r="D22" s="15"/>
      <c r="E22" s="15"/>
      <c r="F22" s="15"/>
      <c r="G22" s="31"/>
      <c r="H22" s="24">
        <f t="shared" si="1"/>
        <v>0</v>
      </c>
      <c r="I22" s="24">
        <f t="shared" si="2"/>
        <v>0</v>
      </c>
      <c r="J22" s="15">
        <v>0.9</v>
      </c>
      <c r="K22" s="26" t="e">
        <f t="shared" si="3"/>
        <v>#VALUE!</v>
      </c>
      <c r="M22" s="16" t="e">
        <f t="array" ref="M22:R22">MMULT(A22:F22,$A$6:$F$11)</f>
        <v>#VALUE!</v>
      </c>
      <c r="N22" s="16" t="e">
        <v>#VALUE!</v>
      </c>
      <c r="O22" s="16" t="e">
        <v>#VALUE!</v>
      </c>
      <c r="P22" s="16" t="e">
        <v>#VALUE!</v>
      </c>
      <c r="Q22" s="16" t="e">
        <v>#VALUE!</v>
      </c>
      <c r="R22" s="16" t="e">
        <v>#VALUE!</v>
      </c>
    </row>
    <row r="23" spans="1:18" x14ac:dyDescent="0.25">
      <c r="A23" s="15"/>
      <c r="B23" s="15"/>
      <c r="C23" s="15"/>
      <c r="D23" s="15"/>
      <c r="E23" s="15"/>
      <c r="F23" s="15"/>
      <c r="G23" s="31"/>
      <c r="H23" s="24">
        <f t="shared" si="1"/>
        <v>0</v>
      </c>
      <c r="I23" s="24">
        <f t="shared" si="2"/>
        <v>0</v>
      </c>
      <c r="J23" s="15">
        <v>1</v>
      </c>
      <c r="K23" s="26" t="e">
        <f t="shared" si="3"/>
        <v>#VALUE!</v>
      </c>
      <c r="M23" s="16" t="e">
        <f t="array" ref="M23:R23">MMULT(A23:F23,$A$6:$F$11)</f>
        <v>#VALUE!</v>
      </c>
      <c r="N23" s="16" t="e">
        <v>#VALUE!</v>
      </c>
      <c r="O23" s="16" t="e">
        <v>#VALUE!</v>
      </c>
      <c r="P23" s="16" t="e">
        <v>#VALUE!</v>
      </c>
      <c r="Q23" s="16" t="e">
        <v>#VALUE!</v>
      </c>
      <c r="R23" s="16" t="e">
        <v>#VALUE!</v>
      </c>
    </row>
    <row r="24" spans="1:18" x14ac:dyDescent="0.25">
      <c r="A24" s="15"/>
      <c r="B24" s="15"/>
      <c r="C24" s="15"/>
      <c r="D24" s="15"/>
      <c r="E24" s="15"/>
      <c r="F24" s="15"/>
      <c r="G24" s="31"/>
      <c r="H24" s="24">
        <f t="shared" si="1"/>
        <v>0</v>
      </c>
      <c r="I24" s="24">
        <f t="shared" si="2"/>
        <v>0</v>
      </c>
      <c r="J24" s="15">
        <v>1.1000000000000001</v>
      </c>
      <c r="K24" s="26" t="e">
        <f t="shared" si="3"/>
        <v>#VALUE!</v>
      </c>
      <c r="M24" s="16" t="e">
        <f t="array" ref="M24:R24">MMULT(A24:F24,$A$6:$F$11)</f>
        <v>#VALUE!</v>
      </c>
      <c r="N24" s="16" t="e">
        <v>#VALUE!</v>
      </c>
      <c r="O24" s="16" t="e">
        <v>#VALUE!</v>
      </c>
      <c r="P24" s="16" t="e">
        <v>#VALUE!</v>
      </c>
      <c r="Q24" s="16" t="e">
        <v>#VALUE!</v>
      </c>
      <c r="R24" s="16" t="e">
        <v>#VALUE!</v>
      </c>
    </row>
    <row r="25" spans="1:18" x14ac:dyDescent="0.25">
      <c r="A25" s="14">
        <v>0.73250411970213858</v>
      </c>
      <c r="B25" s="14">
        <v>5.8186845985670567E-2</v>
      </c>
      <c r="C25" s="14">
        <v>0.12692891744463275</v>
      </c>
      <c r="D25" s="14">
        <v>0</v>
      </c>
      <c r="E25" s="14">
        <v>0</v>
      </c>
      <c r="F25" s="14">
        <v>0.71043663662280532</v>
      </c>
      <c r="G25" s="22">
        <v>-0.62805650714047256</v>
      </c>
      <c r="H25" s="24">
        <f t="shared" si="1"/>
        <v>1.0000000126147746</v>
      </c>
      <c r="I25" s="24">
        <f t="shared" si="2"/>
        <v>1.1999999981239191</v>
      </c>
      <c r="J25" s="30">
        <v>1.2</v>
      </c>
      <c r="K25" s="26">
        <f t="shared" si="3"/>
        <v>64.525447280221329</v>
      </c>
      <c r="M25" s="16">
        <f t="array" ref="M25:R25">MMULT(A25:F25,$A$6:$F$11)</f>
        <v>44.350487291756139</v>
      </c>
      <c r="N25" s="16">
        <v>29.426296097211168</v>
      </c>
      <c r="O25" s="16">
        <v>40.874185789409403</v>
      </c>
      <c r="P25" s="16">
        <v>23.596322981198593</v>
      </c>
      <c r="Q25" s="16">
        <v>34.197239434554469</v>
      </c>
      <c r="R25" s="16">
        <v>35.384145213982869</v>
      </c>
    </row>
    <row r="26" spans="1:18" x14ac:dyDescent="0.25">
      <c r="A26" s="15"/>
      <c r="B26" s="15"/>
      <c r="C26" s="15"/>
      <c r="D26" s="15"/>
      <c r="E26" s="15"/>
      <c r="F26" s="15"/>
      <c r="G26" s="15"/>
      <c r="H26" s="15"/>
      <c r="I26" s="15">
        <v>2</v>
      </c>
      <c r="J26" s="15"/>
      <c r="K26" s="15"/>
    </row>
    <row r="27" spans="1:1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"/>
  <sheetViews>
    <sheetView workbookViewId="0">
      <selection activeCell="K21" sqref="K21"/>
    </sheetView>
  </sheetViews>
  <sheetFormatPr baseColWidth="10" defaultColWidth="9" defaultRowHeight="19" x14ac:dyDescent="0.25"/>
  <cols>
    <col min="1" max="1" width="9.83203125" style="4" customWidth="1"/>
    <col min="2" max="2" width="8.83203125" style="4" customWidth="1"/>
    <col min="3" max="3" width="9.83203125" style="4" customWidth="1"/>
    <col min="4" max="4" width="10.33203125" style="4" customWidth="1"/>
    <col min="5" max="5" width="10.83203125" style="4" customWidth="1"/>
    <col min="6" max="7" width="10.1640625" style="4" customWidth="1"/>
    <col min="8" max="8" width="6.6640625" style="4" customWidth="1"/>
    <col min="9" max="9" width="8.33203125" style="4" customWidth="1"/>
    <col min="10" max="10" width="10.83203125" style="4" customWidth="1"/>
    <col min="11" max="16384" width="9" style="4"/>
  </cols>
  <sheetData>
    <row r="1" spans="1:17" ht="20" thickBo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16</v>
      </c>
      <c r="G1" s="17"/>
    </row>
    <row r="2" spans="1:17" ht="20" thickBot="1" x14ac:dyDescent="0.3">
      <c r="A2" s="5" t="s">
        <v>9</v>
      </c>
      <c r="B2" s="5"/>
      <c r="C2" s="6"/>
      <c r="D2" s="6"/>
      <c r="E2" s="6"/>
      <c r="F2" s="6"/>
      <c r="G2" s="18"/>
    </row>
    <row r="3" spans="1:17" x14ac:dyDescent="0.25">
      <c r="A3" s="9">
        <f>AVERAGE(data!B8:'data'!B247)</f>
        <v>0.88733333333333397</v>
      </c>
      <c r="B3" s="9">
        <f>AVERAGE(data!C8:'data'!C247)</f>
        <v>0.65604166666666675</v>
      </c>
      <c r="C3" s="9">
        <f>AVERAGE(data!D8:'data'!D247)</f>
        <v>0.8334583333333333</v>
      </c>
      <c r="D3" s="9">
        <f>AVERAGE(data!E8:'data'!E247)</f>
        <v>0.435</v>
      </c>
      <c r="E3" s="9">
        <f>AVERAGE(data!F8:'data'!F247)</f>
        <v>0.5719166666666663</v>
      </c>
      <c r="F3" s="9">
        <f>AVERAGE(data!G8:'data'!G247)</f>
        <v>0.74837500000000001</v>
      </c>
      <c r="G3" s="19"/>
    </row>
    <row r="5" spans="1:17" ht="20" thickBot="1" x14ac:dyDescent="0.3">
      <c r="A5" s="7" t="s">
        <v>15</v>
      </c>
      <c r="B5" s="7"/>
      <c r="C5" s="7"/>
      <c r="D5" s="8"/>
      <c r="E5" s="8"/>
      <c r="F5" s="8"/>
      <c r="G5" s="18"/>
    </row>
    <row r="6" spans="1:17" x14ac:dyDescent="0.25">
      <c r="A6" s="10">
        <f>_xlfn.COVARIANCE.S(data!$B$8:$B$247,data!B8:B247)</f>
        <v>44.123884072524397</v>
      </c>
      <c r="B6" s="10">
        <f>_xlfn.COVARIANCE.S(data!$B$8:$B$247,data!C8:C247)</f>
        <v>11.313263040446307</v>
      </c>
      <c r="C6" s="10">
        <f>_xlfn.COVARIANCE.S(data!$B$8:$B$247,data!D8:D247)</f>
        <v>21.88411093444909</v>
      </c>
      <c r="D6" s="10">
        <f>_xlfn.COVARIANCE.S(data!$B$8:$B$247,data!E8:E247)</f>
        <v>10.664132217573231</v>
      </c>
      <c r="E6" s="10">
        <f>_xlfn.COVARIANCE.S(data!$B$8:$B$247,data!F8:F247)</f>
        <v>12.943097601115753</v>
      </c>
      <c r="F6" s="10">
        <f>_xlfn.COVARIANCE.S(data!$B$8:$B$247,data!G8:G247)</f>
        <v>12.096153807531389</v>
      </c>
      <c r="G6" s="20"/>
      <c r="I6" s="12">
        <f t="array" ref="I6:N11">TRANSPOSE(A6:F11)</f>
        <v>44.123884072524397</v>
      </c>
      <c r="J6" s="12">
        <v>11.313263040446307</v>
      </c>
      <c r="K6" s="12">
        <v>21.88411093444909</v>
      </c>
      <c r="L6" s="12">
        <v>10.664132217573231</v>
      </c>
      <c r="M6" s="12">
        <v>12.943097601115753</v>
      </c>
      <c r="N6" s="12">
        <v>12.096153807531389</v>
      </c>
    </row>
    <row r="7" spans="1:17" x14ac:dyDescent="0.25">
      <c r="A7" s="11">
        <f>I7</f>
        <v>11.313263040446307</v>
      </c>
      <c r="B7" s="11">
        <f>_xlfn.COVARIANCE.S(data!$C$8:$C$247,data!C8:C247)</f>
        <v>41.506507697001346</v>
      </c>
      <c r="C7" s="11">
        <f>_xlfn.COVARIANCE.S(data!$C$8:$C$247,data!D8:D247)</f>
        <v>20.921406633542549</v>
      </c>
      <c r="D7" s="11">
        <f>_xlfn.COVARIANCE.S(data!$C$8:$C$247,data!E8:E247)</f>
        <v>10.122217782426773</v>
      </c>
      <c r="E7" s="11">
        <f>_xlfn.COVARIANCE.S(data!$C$8:$C$247,data!F8:F247)</f>
        <v>20.585919752440724</v>
      </c>
      <c r="F7" s="11">
        <f>_xlfn.COVARIANCE.S(data!$C$8:$C$247,data!G8:G247)</f>
        <v>22.617949607740588</v>
      </c>
      <c r="G7" s="20"/>
      <c r="I7" s="12">
        <v>11.313263040446307</v>
      </c>
      <c r="J7" s="12">
        <v>41.506507697001346</v>
      </c>
      <c r="K7" s="12">
        <v>20.921406633542549</v>
      </c>
      <c r="L7" s="12">
        <v>10.122217782426773</v>
      </c>
      <c r="M7" s="12">
        <v>20.585919752440724</v>
      </c>
      <c r="N7" s="12">
        <v>22.617949607740588</v>
      </c>
    </row>
    <row r="8" spans="1:17" x14ac:dyDescent="0.25">
      <c r="A8" s="11">
        <f t="shared" ref="A8:E11" si="0">I8</f>
        <v>21.88411093444909</v>
      </c>
      <c r="B8" s="11">
        <f t="shared" si="0"/>
        <v>20.921406633542549</v>
      </c>
      <c r="C8" s="11">
        <f>_xlfn.COVARIANCE.S(data!$D$8:$D$247,data!D8:D247)</f>
        <v>50.559603471059958</v>
      </c>
      <c r="D8" s="11">
        <f>_xlfn.COVARIANCE.S(data!$D$8:$D$247,data!E8:E247)</f>
        <v>24.329109414225968</v>
      </c>
      <c r="E8" s="11">
        <f>_xlfn.COVARIANCE.S(data!$D$8:$D$247,data!F8:F247)</f>
        <v>26.213092506973503</v>
      </c>
      <c r="F8" s="11">
        <f>_xlfn.COVARIANCE.S(data!$D$8:$D$247,data!G8:G247)</f>
        <v>24.223353760460252</v>
      </c>
      <c r="G8" s="20"/>
      <c r="I8" s="12">
        <v>21.88411093444909</v>
      </c>
      <c r="J8" s="12">
        <v>20.921406633542549</v>
      </c>
      <c r="K8" s="12">
        <v>50.559603471059958</v>
      </c>
      <c r="L8" s="12">
        <v>24.329109414225968</v>
      </c>
      <c r="M8" s="12">
        <v>26.213092506973503</v>
      </c>
      <c r="N8" s="12">
        <v>24.223353760460252</v>
      </c>
    </row>
    <row r="9" spans="1:17" x14ac:dyDescent="0.25">
      <c r="A9" s="11">
        <f t="shared" si="0"/>
        <v>10.664132217573231</v>
      </c>
      <c r="B9" s="11">
        <f t="shared" si="0"/>
        <v>10.122217782426773</v>
      </c>
      <c r="C9" s="11">
        <f t="shared" si="0"/>
        <v>24.329109414225968</v>
      </c>
      <c r="D9" s="11">
        <f>_xlfn.COVARIANCE.S(data!$E$8:$E$247,data!E8:E247)</f>
        <v>29.873774058577407</v>
      </c>
      <c r="E9" s="11">
        <f>_xlfn.COVARIANCE.S(data!$E$8:$E$247,data!F8:F247)</f>
        <v>19.251461506276161</v>
      </c>
      <c r="F9" s="11">
        <f>_xlfn.COVARIANCE.S(data!$E$8:$E$247,data!G8:G247)</f>
        <v>17.042694769874466</v>
      </c>
      <c r="G9" s="20"/>
      <c r="I9" s="12">
        <v>10.664132217573231</v>
      </c>
      <c r="J9" s="12">
        <v>10.122217782426773</v>
      </c>
      <c r="K9" s="12">
        <v>24.329109414225968</v>
      </c>
      <c r="L9" s="12">
        <v>29.873774058577407</v>
      </c>
      <c r="M9" s="12">
        <v>19.251461506276161</v>
      </c>
      <c r="N9" s="12">
        <v>17.042694769874466</v>
      </c>
    </row>
    <row r="10" spans="1:17" x14ac:dyDescent="0.25">
      <c r="A10" s="11">
        <f t="shared" si="0"/>
        <v>12.943097601115753</v>
      </c>
      <c r="B10" s="11">
        <f t="shared" si="0"/>
        <v>20.585919752440724</v>
      </c>
      <c r="C10" s="11">
        <f t="shared" si="0"/>
        <v>26.213092506973503</v>
      </c>
      <c r="D10" s="11">
        <f t="shared" si="0"/>
        <v>19.251461506276161</v>
      </c>
      <c r="E10" s="10">
        <f>_xlfn.COVARIANCE.S(data!$F$8:$F$247,data!F8:F247)</f>
        <v>39.602826436541115</v>
      </c>
      <c r="F10" s="10">
        <f>_xlfn.COVARIANCE.S(data!$F$8:$F$247,data!G8:G247)</f>
        <v>28.421025721757321</v>
      </c>
      <c r="G10" s="20"/>
      <c r="I10" s="12">
        <v>12.943097601115753</v>
      </c>
      <c r="J10" s="12">
        <v>20.585919752440724</v>
      </c>
      <c r="K10" s="12">
        <v>26.213092506973503</v>
      </c>
      <c r="L10" s="12">
        <v>19.251461506276161</v>
      </c>
      <c r="M10" s="12">
        <v>39.602826436541115</v>
      </c>
      <c r="N10" s="12">
        <v>28.421025721757321</v>
      </c>
    </row>
    <row r="11" spans="1:17" x14ac:dyDescent="0.25">
      <c r="A11" s="11">
        <f t="shared" si="0"/>
        <v>12.096153807531389</v>
      </c>
      <c r="B11" s="11">
        <f t="shared" si="0"/>
        <v>22.617949607740588</v>
      </c>
      <c r="C11" s="11">
        <f t="shared" si="0"/>
        <v>24.223353760460252</v>
      </c>
      <c r="D11" s="11">
        <f t="shared" si="0"/>
        <v>17.042694769874466</v>
      </c>
      <c r="E11" s="11">
        <f t="shared" si="0"/>
        <v>28.421025721757321</v>
      </c>
      <c r="F11" s="10">
        <f>_xlfn.COVARIANCE.S(data!$G$8:$G$247,data!G8:G247)</f>
        <v>31.154011992677809</v>
      </c>
      <c r="G11" s="20"/>
      <c r="I11" s="12">
        <v>12.096153807531389</v>
      </c>
      <c r="J11" s="12">
        <v>22.617949607740588</v>
      </c>
      <c r="K11" s="12">
        <v>24.223353760460252</v>
      </c>
      <c r="L11" s="12">
        <v>17.042694769874466</v>
      </c>
      <c r="M11" s="12">
        <v>28.421025721757321</v>
      </c>
      <c r="N11" s="12">
        <v>31.154011992677809</v>
      </c>
    </row>
    <row r="14" spans="1:17" x14ac:dyDescent="0.25">
      <c r="A14" s="13" t="s">
        <v>17</v>
      </c>
      <c r="B14" s="13" t="s">
        <v>18</v>
      </c>
      <c r="C14" s="13" t="s">
        <v>19</v>
      </c>
      <c r="D14" s="13" t="s">
        <v>20</v>
      </c>
      <c r="E14" s="13" t="s">
        <v>21</v>
      </c>
      <c r="F14" s="13" t="s">
        <v>22</v>
      </c>
      <c r="G14" s="13" t="s">
        <v>27</v>
      </c>
      <c r="H14" s="13" t="s">
        <v>23</v>
      </c>
      <c r="I14" s="13" t="s">
        <v>24</v>
      </c>
      <c r="J14" s="13" t="s">
        <v>25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</row>
    <row r="15" spans="1:17" x14ac:dyDescent="0.25">
      <c r="A15" s="14">
        <v>0.10476860161773845</v>
      </c>
      <c r="B15" s="14">
        <v>2.0346445174464978E-2</v>
      </c>
      <c r="C15" s="14">
        <v>1.4653520690494731E-2</v>
      </c>
      <c r="D15" s="14">
        <v>0</v>
      </c>
      <c r="E15" s="14">
        <v>0</v>
      </c>
      <c r="F15" s="14">
        <v>0.10886803144828104</v>
      </c>
      <c r="G15" s="21">
        <f>SUM(A15:F15)</f>
        <v>0.24863659893097917</v>
      </c>
      <c r="H15" s="16">
        <f>SUMPRODUCT(A15:F15,A3:F3)</f>
        <v>0.20000000027241052</v>
      </c>
      <c r="I15" s="4">
        <v>0.2</v>
      </c>
      <c r="J15" s="4">
        <f>SUMPRODUCT(A15:F15,L15:Q15)</f>
        <v>1.4629344867435203</v>
      </c>
      <c r="L15" s="16">
        <f t="array" ref="L15:Q15">MMULT(A15:F15,A6:F11)</f>
        <v>6.4905460439109284</v>
      </c>
      <c r="M15" s="16">
        <v>4.7987285458917581</v>
      </c>
      <c r="N15" s="16">
        <v>6.0964689878347613</v>
      </c>
      <c r="O15" s="16">
        <v>3.5351291074087787</v>
      </c>
      <c r="P15" s="16">
        <v>5.2531357393612428</v>
      </c>
      <c r="Q15" s="16">
        <v>5.4741253639019014</v>
      </c>
    </row>
    <row r="16" spans="1:17" x14ac:dyDescent="0.25">
      <c r="A16" s="15"/>
      <c r="B16" s="15"/>
      <c r="C16" s="15"/>
      <c r="D16" s="15"/>
      <c r="E16" s="15"/>
      <c r="F16" s="15"/>
      <c r="G16" s="18"/>
      <c r="I16" s="4">
        <v>4</v>
      </c>
    </row>
    <row r="17" spans="1:9" x14ac:dyDescent="0.25">
      <c r="A17" s="15"/>
      <c r="B17" s="15"/>
      <c r="C17" s="15"/>
      <c r="D17" s="15"/>
      <c r="E17" s="15"/>
      <c r="F17" s="15"/>
      <c r="G17" s="18"/>
      <c r="I17" s="4">
        <v>6</v>
      </c>
    </row>
    <row r="18" spans="1:9" x14ac:dyDescent="0.25">
      <c r="A18" s="15"/>
      <c r="B18" s="15"/>
      <c r="C18" s="15"/>
      <c r="D18" s="15"/>
      <c r="E18" s="15"/>
      <c r="F18" s="15"/>
      <c r="G18" s="18"/>
    </row>
    <row r="19" spans="1:9" x14ac:dyDescent="0.25">
      <c r="A19" s="15"/>
      <c r="B19" s="15"/>
      <c r="C19" s="15"/>
      <c r="D19" s="15"/>
      <c r="E19" s="15"/>
      <c r="F19" s="15"/>
      <c r="G19" s="1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"/>
  <sheetViews>
    <sheetView workbookViewId="0">
      <selection activeCell="A14" sqref="A14:F19"/>
    </sheetView>
  </sheetViews>
  <sheetFormatPr baseColWidth="10" defaultColWidth="8.83203125" defaultRowHeight="15" x14ac:dyDescent="0.2"/>
  <sheetData>
    <row r="1" spans="1:15" ht="20" thickBot="1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16</v>
      </c>
      <c r="G1" s="17"/>
      <c r="H1" s="4"/>
      <c r="I1" s="4"/>
      <c r="J1" s="4"/>
      <c r="K1" s="4"/>
      <c r="L1" s="4"/>
      <c r="M1" s="4"/>
      <c r="N1" s="4"/>
      <c r="O1" s="4"/>
    </row>
    <row r="2" spans="1:15" ht="20" thickBot="1" x14ac:dyDescent="0.3">
      <c r="A2" s="5" t="s">
        <v>9</v>
      </c>
      <c r="B2" s="5"/>
      <c r="C2" s="6"/>
      <c r="D2" s="6"/>
      <c r="E2" s="6"/>
      <c r="F2" s="6"/>
      <c r="G2" s="18"/>
      <c r="H2" s="4"/>
      <c r="I2" s="4"/>
      <c r="J2" s="4"/>
      <c r="K2" s="4"/>
      <c r="L2" s="4"/>
      <c r="M2" s="4"/>
      <c r="N2" s="4"/>
      <c r="O2" s="4"/>
    </row>
    <row r="3" spans="1:15" ht="19" x14ac:dyDescent="0.25">
      <c r="A3" s="9">
        <f>AVERAGE(data!B8:'data'!B247)</f>
        <v>0.88733333333333397</v>
      </c>
      <c r="B3" s="9">
        <f>AVERAGE(data!C8:'data'!C247)</f>
        <v>0.65604166666666675</v>
      </c>
      <c r="C3" s="9">
        <f>AVERAGE(data!D8:'data'!D247)</f>
        <v>0.8334583333333333</v>
      </c>
      <c r="D3" s="9">
        <f>AVERAGE(data!E8:'data'!E247)</f>
        <v>0.435</v>
      </c>
      <c r="E3" s="9">
        <f>AVERAGE(data!F8:'data'!F247)</f>
        <v>0.5719166666666663</v>
      </c>
      <c r="F3" s="9">
        <f>AVERAGE(data!G8:'data'!G247)</f>
        <v>0.74837500000000001</v>
      </c>
      <c r="G3" s="19"/>
      <c r="H3" s="4"/>
      <c r="I3" s="4"/>
      <c r="J3" s="4"/>
      <c r="K3" s="4"/>
      <c r="L3" s="4"/>
      <c r="M3" s="4"/>
      <c r="N3" s="4"/>
      <c r="O3" s="4"/>
    </row>
    <row r="4" spans="1:15" ht="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0" thickBot="1" x14ac:dyDescent="0.3">
      <c r="A5" s="7" t="s">
        <v>15</v>
      </c>
      <c r="B5" s="7"/>
      <c r="C5" s="7"/>
      <c r="D5" s="8"/>
      <c r="E5" s="8"/>
      <c r="F5" s="8"/>
      <c r="G5" s="18"/>
      <c r="H5" s="4"/>
      <c r="I5" s="4"/>
      <c r="J5" s="4"/>
      <c r="K5" s="4"/>
      <c r="L5" s="4"/>
      <c r="M5" s="4"/>
      <c r="N5" s="4"/>
      <c r="O5" s="4"/>
    </row>
    <row r="6" spans="1:15" ht="19" x14ac:dyDescent="0.25">
      <c r="A6" s="10">
        <f>_xlfn.COVARIANCE.S(data!$B$8:$B$247,data!B8:B247)</f>
        <v>44.123884072524397</v>
      </c>
      <c r="B6" s="10">
        <f>_xlfn.COVARIANCE.S(data!$B$8:$B$247,data!C8:C247)</f>
        <v>11.313263040446307</v>
      </c>
      <c r="C6" s="10">
        <f>_xlfn.COVARIANCE.S(data!$B$8:$B$247,data!D8:D247)</f>
        <v>21.88411093444909</v>
      </c>
      <c r="D6" s="10">
        <f>_xlfn.COVARIANCE.S(data!$B$8:$B$247,data!E8:E247)</f>
        <v>10.664132217573231</v>
      </c>
      <c r="E6" s="10">
        <f>_xlfn.COVARIANCE.S(data!$B$8:$B$247,data!F8:F247)</f>
        <v>12.943097601115753</v>
      </c>
      <c r="F6" s="10">
        <f>_xlfn.COVARIANCE.S(data!$B$8:$B$247,data!G8:G247)</f>
        <v>12.096153807531389</v>
      </c>
      <c r="G6" s="20"/>
      <c r="H6" s="4"/>
      <c r="I6" s="12">
        <f t="array" ref="I6:N11">TRANSPOSE(A6:F11)</f>
        <v>44.123884072524397</v>
      </c>
      <c r="J6" s="12">
        <v>11.313263040446307</v>
      </c>
      <c r="K6" s="12">
        <v>21.88411093444909</v>
      </c>
      <c r="L6" s="12">
        <v>10.664132217573231</v>
      </c>
      <c r="M6" s="12">
        <v>12.943097601115753</v>
      </c>
      <c r="N6" s="12">
        <v>12.096153807531389</v>
      </c>
      <c r="O6" s="4"/>
    </row>
    <row r="7" spans="1:15" ht="19" x14ac:dyDescent="0.25">
      <c r="A7" s="11">
        <f>I7</f>
        <v>11.313263040446307</v>
      </c>
      <c r="B7" s="11">
        <f>_xlfn.COVARIANCE.S(data!$C$8:$C$247,data!C8:C247)</f>
        <v>41.506507697001346</v>
      </c>
      <c r="C7" s="11">
        <f>_xlfn.COVARIANCE.S(data!$C$8:$C$247,data!D8:D247)</f>
        <v>20.921406633542549</v>
      </c>
      <c r="D7" s="11">
        <f>_xlfn.COVARIANCE.S(data!$C$8:$C$247,data!E8:E247)</f>
        <v>10.122217782426773</v>
      </c>
      <c r="E7" s="11">
        <f>_xlfn.COVARIANCE.S(data!$C$8:$C$247,data!F8:F247)</f>
        <v>20.585919752440724</v>
      </c>
      <c r="F7" s="11">
        <f>_xlfn.COVARIANCE.S(data!$C$8:$C$247,data!G8:G247)</f>
        <v>22.617949607740588</v>
      </c>
      <c r="G7" s="20"/>
      <c r="H7" s="4"/>
      <c r="I7" s="12">
        <v>11.313263040446307</v>
      </c>
      <c r="J7" s="12">
        <v>41.506507697001346</v>
      </c>
      <c r="K7" s="12">
        <v>20.921406633542549</v>
      </c>
      <c r="L7" s="12">
        <v>10.122217782426773</v>
      </c>
      <c r="M7" s="12">
        <v>20.585919752440724</v>
      </c>
      <c r="N7" s="12">
        <v>22.617949607740588</v>
      </c>
      <c r="O7" s="4"/>
    </row>
    <row r="8" spans="1:15" ht="19" x14ac:dyDescent="0.25">
      <c r="A8" s="11">
        <f t="shared" ref="A8:E11" si="0">I8</f>
        <v>21.88411093444909</v>
      </c>
      <c r="B8" s="11">
        <f t="shared" si="0"/>
        <v>20.921406633542549</v>
      </c>
      <c r="C8" s="11">
        <f>_xlfn.COVARIANCE.S(data!$D$8:$D$247,data!D8:D247)</f>
        <v>50.559603471059958</v>
      </c>
      <c r="D8" s="11">
        <f>_xlfn.COVARIANCE.S(data!$D$8:$D$247,data!E8:E247)</f>
        <v>24.329109414225968</v>
      </c>
      <c r="E8" s="11">
        <f>_xlfn.COVARIANCE.S(data!$D$8:$D$247,data!F8:F247)</f>
        <v>26.213092506973503</v>
      </c>
      <c r="F8" s="11">
        <f>_xlfn.COVARIANCE.S(data!$D$8:$D$247,data!G8:G247)</f>
        <v>24.223353760460252</v>
      </c>
      <c r="G8" s="20"/>
      <c r="H8" s="4"/>
      <c r="I8" s="12">
        <v>21.88411093444909</v>
      </c>
      <c r="J8" s="12">
        <v>20.921406633542549</v>
      </c>
      <c r="K8" s="12">
        <v>50.559603471059958</v>
      </c>
      <c r="L8" s="12">
        <v>24.329109414225968</v>
      </c>
      <c r="M8" s="12">
        <v>26.213092506973503</v>
      </c>
      <c r="N8" s="12">
        <v>24.223353760460252</v>
      </c>
      <c r="O8" s="4"/>
    </row>
    <row r="9" spans="1:15" ht="19" x14ac:dyDescent="0.25">
      <c r="A9" s="11">
        <f t="shared" si="0"/>
        <v>10.664132217573231</v>
      </c>
      <c r="B9" s="11">
        <f t="shared" si="0"/>
        <v>10.122217782426773</v>
      </c>
      <c r="C9" s="11">
        <f t="shared" si="0"/>
        <v>24.329109414225968</v>
      </c>
      <c r="D9" s="11">
        <f>_xlfn.COVARIANCE.S(data!$E$8:$E$247,data!E8:E247)</f>
        <v>29.873774058577407</v>
      </c>
      <c r="E9" s="11">
        <f>_xlfn.COVARIANCE.S(data!$E$8:$E$247,data!F8:F247)</f>
        <v>19.251461506276161</v>
      </c>
      <c r="F9" s="11">
        <f>_xlfn.COVARIANCE.S(data!$E$8:$E$247,data!G8:G247)</f>
        <v>17.042694769874466</v>
      </c>
      <c r="G9" s="20"/>
      <c r="H9" s="4"/>
      <c r="I9" s="12">
        <v>10.664132217573231</v>
      </c>
      <c r="J9" s="12">
        <v>10.122217782426773</v>
      </c>
      <c r="K9" s="12">
        <v>24.329109414225968</v>
      </c>
      <c r="L9" s="12">
        <v>29.873774058577407</v>
      </c>
      <c r="M9" s="12">
        <v>19.251461506276161</v>
      </c>
      <c r="N9" s="12">
        <v>17.042694769874466</v>
      </c>
      <c r="O9" s="4"/>
    </row>
    <row r="10" spans="1:15" ht="19" x14ac:dyDescent="0.25">
      <c r="A10" s="11">
        <f t="shared" si="0"/>
        <v>12.943097601115753</v>
      </c>
      <c r="B10" s="11">
        <f t="shared" si="0"/>
        <v>20.585919752440724</v>
      </c>
      <c r="C10" s="11">
        <f t="shared" si="0"/>
        <v>26.213092506973503</v>
      </c>
      <c r="D10" s="11">
        <f t="shared" si="0"/>
        <v>19.251461506276161</v>
      </c>
      <c r="E10" s="10">
        <f>_xlfn.COVARIANCE.S(data!$F$8:$F$247,data!F8:F247)</f>
        <v>39.602826436541115</v>
      </c>
      <c r="F10" s="10">
        <f>_xlfn.COVARIANCE.S(data!$F$8:$F$247,data!G8:G247)</f>
        <v>28.421025721757321</v>
      </c>
      <c r="G10" s="20"/>
      <c r="H10" s="4"/>
      <c r="I10" s="12">
        <v>12.943097601115753</v>
      </c>
      <c r="J10" s="12">
        <v>20.585919752440724</v>
      </c>
      <c r="K10" s="12">
        <v>26.213092506973503</v>
      </c>
      <c r="L10" s="12">
        <v>19.251461506276161</v>
      </c>
      <c r="M10" s="12">
        <v>39.602826436541115</v>
      </c>
      <c r="N10" s="12">
        <v>28.421025721757321</v>
      </c>
      <c r="O10" s="4"/>
    </row>
    <row r="11" spans="1:15" ht="19" x14ac:dyDescent="0.25">
      <c r="A11" s="11">
        <f t="shared" si="0"/>
        <v>12.096153807531389</v>
      </c>
      <c r="B11" s="11">
        <f t="shared" si="0"/>
        <v>22.617949607740588</v>
      </c>
      <c r="C11" s="11">
        <f t="shared" si="0"/>
        <v>24.223353760460252</v>
      </c>
      <c r="D11" s="11">
        <f t="shared" si="0"/>
        <v>17.042694769874466</v>
      </c>
      <c r="E11" s="11">
        <f t="shared" si="0"/>
        <v>28.421025721757321</v>
      </c>
      <c r="F11" s="10">
        <f>_xlfn.COVARIANCE.S(data!$G$8:$G$247,data!G8:G247)</f>
        <v>31.154011992677809</v>
      </c>
      <c r="G11" s="20"/>
      <c r="H11" s="4"/>
      <c r="I11" s="12">
        <v>12.096153807531389</v>
      </c>
      <c r="J11" s="12">
        <v>22.617949607740588</v>
      </c>
      <c r="K11" s="12">
        <v>24.223353760460252</v>
      </c>
      <c r="L11" s="12">
        <v>17.042694769874466</v>
      </c>
      <c r="M11" s="12">
        <v>28.421025721757321</v>
      </c>
      <c r="N11" s="12">
        <v>31.154011992677809</v>
      </c>
      <c r="O11" s="4"/>
    </row>
    <row r="13" spans="1:15" x14ac:dyDescent="0.2">
      <c r="I13" s="27" t="s">
        <v>28</v>
      </c>
      <c r="J13" s="27"/>
      <c r="K13" s="27"/>
      <c r="L13" s="27"/>
      <c r="M13" s="27"/>
      <c r="N13" s="27"/>
    </row>
    <row r="14" spans="1:15" x14ac:dyDescent="0.2">
      <c r="A14">
        <f t="array" ref="A14:F19">MINVERSE(A6:F11)</f>
        <v>2.9028588269040277E-2</v>
      </c>
      <c r="B14">
        <v>-1.3966093785105589E-3</v>
      </c>
      <c r="C14">
        <v>-1.1298356847702997E-2</v>
      </c>
      <c r="D14">
        <v>3.5646321708359991E-4</v>
      </c>
      <c r="E14">
        <v>-7.5219250870285832E-4</v>
      </c>
      <c r="F14">
        <v>-9.8089274390094814E-4</v>
      </c>
      <c r="H14">
        <v>1</v>
      </c>
      <c r="I14" s="27">
        <f t="array" ref="I14:N14">MMULT(A3:F3,A14:F19)</f>
        <v>1.441588483862179E-2</v>
      </c>
      <c r="J14" s="27">
        <v>2.3584319510141782E-3</v>
      </c>
      <c r="K14" s="27">
        <v>3.9472730789927397E-3</v>
      </c>
      <c r="L14" s="27">
        <v>-1.5001941922212735E-3</v>
      </c>
      <c r="M14" s="27">
        <v>-1.0887457688448517E-2</v>
      </c>
      <c r="N14" s="27">
        <v>2.4396190751213798E-2</v>
      </c>
    </row>
    <row r="15" spans="1:15" x14ac:dyDescent="0.2">
      <c r="A15">
        <v>-1.396609378510558E-3</v>
      </c>
      <c r="B15">
        <v>4.1671626992091072E-2</v>
      </c>
      <c r="C15">
        <v>-6.8087257078780043E-3</v>
      </c>
      <c r="D15">
        <v>8.4934026986590184E-3</v>
      </c>
      <c r="E15">
        <v>8.9035150605306699E-5</v>
      </c>
      <c r="F15">
        <v>-2.9145007914809742E-2</v>
      </c>
      <c r="H15">
        <v>1</v>
      </c>
    </row>
    <row r="16" spans="1:15" x14ac:dyDescent="0.2">
      <c r="A16">
        <v>-1.1298356847702997E-2</v>
      </c>
      <c r="B16">
        <v>-6.8087257078780043E-3</v>
      </c>
      <c r="C16">
        <v>4.5053435972566842E-2</v>
      </c>
      <c r="D16">
        <v>-2.1702822219565824E-2</v>
      </c>
      <c r="E16">
        <v>-6.1255345168281317E-3</v>
      </c>
      <c r="F16">
        <v>-8.240052414339746E-3</v>
      </c>
      <c r="H16">
        <v>1</v>
      </c>
    </row>
    <row r="17" spans="1:8" x14ac:dyDescent="0.2">
      <c r="A17">
        <v>3.5646321708359947E-4</v>
      </c>
      <c r="B17">
        <v>8.4934026986590166E-3</v>
      </c>
      <c r="C17">
        <v>-2.1702822219565824E-2</v>
      </c>
      <c r="D17">
        <v>6.3127483514747437E-2</v>
      </c>
      <c r="E17">
        <v>-1.0587628888939722E-2</v>
      </c>
      <c r="F17">
        <v>-1.4304777444524837E-2</v>
      </c>
      <c r="H17">
        <v>1</v>
      </c>
    </row>
    <row r="18" spans="1:8" x14ac:dyDescent="0.2">
      <c r="A18">
        <v>-7.5219250870286049E-4</v>
      </c>
      <c r="B18">
        <v>8.9035150605296996E-5</v>
      </c>
      <c r="C18">
        <v>-6.1255345168281222E-3</v>
      </c>
      <c r="D18">
        <v>-1.0587628888939736E-2</v>
      </c>
      <c r="E18">
        <v>7.7941975570865227E-2</v>
      </c>
      <c r="F18">
        <v>-6.0322353735803157E-2</v>
      </c>
      <c r="H18">
        <v>1</v>
      </c>
    </row>
    <row r="19" spans="1:8" x14ac:dyDescent="0.2">
      <c r="A19">
        <v>-9.8089274390094293E-4</v>
      </c>
      <c r="B19">
        <v>-2.9145007914809732E-2</v>
      </c>
      <c r="C19">
        <v>-8.2400524143397599E-3</v>
      </c>
      <c r="D19">
        <v>-1.4304777444524833E-2</v>
      </c>
      <c r="E19">
        <v>-6.0322353735803157E-2</v>
      </c>
      <c r="F19">
        <v>0.12290173664408641</v>
      </c>
      <c r="H19">
        <v>1</v>
      </c>
    </row>
    <row r="22" spans="1:8" x14ac:dyDescent="0.2">
      <c r="A22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15" x14ac:dyDescent="0.2">
      <c r="A1" s="34"/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15" x14ac:dyDescent="0.2">
      <c r="A2" s="32" t="s">
        <v>1</v>
      </c>
      <c r="B2" s="32">
        <f>VARP(data!$B$8:$B$247)</f>
        <v>43.940034555555542</v>
      </c>
      <c r="C2" s="32">
        <f>B3</f>
        <v>11.266124444444447</v>
      </c>
      <c r="D2" s="32">
        <f t="shared" ref="D2:G2" si="0">C3</f>
        <v>41.333563914930565</v>
      </c>
      <c r="E2" s="32">
        <f t="shared" si="0"/>
        <v>0</v>
      </c>
      <c r="F2" s="32">
        <f t="shared" si="0"/>
        <v>0</v>
      </c>
      <c r="G2" s="32">
        <f t="shared" si="0"/>
        <v>0</v>
      </c>
      <c r="J2">
        <f t="array" ref="J2:O7">TRANSPOSE(B2:G7)</f>
        <v>43.940034555555542</v>
      </c>
      <c r="K2">
        <v>11.266124444444447</v>
      </c>
      <c r="L2">
        <v>21.792927138888885</v>
      </c>
      <c r="M2">
        <v>10.619698333333341</v>
      </c>
      <c r="N2">
        <v>12.889168027777771</v>
      </c>
      <c r="O2">
        <v>12.045753166666675</v>
      </c>
    </row>
    <row r="3" spans="1:15" x14ac:dyDescent="0.2">
      <c r="A3" s="32" t="s">
        <v>2</v>
      </c>
      <c r="B3" s="32">
        <v>11.266124444444447</v>
      </c>
      <c r="C3" s="32">
        <f>VARP(data!$C$8:$C$247)</f>
        <v>41.333563914930565</v>
      </c>
      <c r="D3" s="32"/>
      <c r="E3" s="32"/>
      <c r="F3" s="32"/>
      <c r="G3" s="32"/>
      <c r="J3">
        <v>11.266124444444447</v>
      </c>
      <c r="K3">
        <v>41.333563914930565</v>
      </c>
      <c r="L3">
        <v>20.834234105902787</v>
      </c>
      <c r="M3">
        <v>10.080041874999996</v>
      </c>
      <c r="N3">
        <v>20.500145086805553</v>
      </c>
      <c r="O3">
        <v>22.523708151041667</v>
      </c>
    </row>
    <row r="4" spans="1:15" x14ac:dyDescent="0.2">
      <c r="A4" s="32" t="s">
        <v>3</v>
      </c>
      <c r="B4" s="32">
        <v>21.792927138888885</v>
      </c>
      <c r="C4" s="32">
        <v>20.834234105902787</v>
      </c>
      <c r="D4" s="32">
        <f>VARP(data!$D$8:$D$247)</f>
        <v>50.348938456597253</v>
      </c>
      <c r="E4" s="32"/>
      <c r="F4" s="32"/>
      <c r="G4" s="32"/>
      <c r="J4">
        <v>41.333563914930565</v>
      </c>
      <c r="K4">
        <v>0</v>
      </c>
      <c r="L4">
        <v>50.348938456597253</v>
      </c>
      <c r="M4">
        <v>24.227738125000027</v>
      </c>
      <c r="N4">
        <v>26.103871288194448</v>
      </c>
      <c r="O4">
        <v>24.122423119791669</v>
      </c>
    </row>
    <row r="5" spans="1:15" x14ac:dyDescent="0.2">
      <c r="A5" s="32" t="s">
        <v>4</v>
      </c>
      <c r="B5" s="32">
        <v>10.619698333333341</v>
      </c>
      <c r="C5" s="32">
        <v>10.080041874999996</v>
      </c>
      <c r="D5" s="32">
        <v>24.227738125000027</v>
      </c>
      <c r="E5" s="32">
        <f>VARP(data!$E$8:$E$247)</f>
        <v>29.749300000000005</v>
      </c>
      <c r="F5" s="32"/>
      <c r="G5" s="32"/>
      <c r="J5">
        <v>0</v>
      </c>
      <c r="K5">
        <v>0</v>
      </c>
      <c r="L5">
        <v>0</v>
      </c>
      <c r="M5">
        <v>29.749300000000005</v>
      </c>
      <c r="N5">
        <v>19.171247083333345</v>
      </c>
      <c r="O5">
        <v>16.971683541666653</v>
      </c>
    </row>
    <row r="6" spans="1:15" x14ac:dyDescent="0.2">
      <c r="A6" s="32" t="s">
        <v>5</v>
      </c>
      <c r="B6" s="32">
        <v>12.889168027777771</v>
      </c>
      <c r="C6" s="32">
        <v>20.500145086805553</v>
      </c>
      <c r="D6" s="32">
        <v>26.103871288194448</v>
      </c>
      <c r="E6" s="32">
        <v>19.171247083333345</v>
      </c>
      <c r="F6" s="32">
        <f>VARP(data!$F$8:$F$247)</f>
        <v>39.437814659722228</v>
      </c>
      <c r="G6" s="32"/>
      <c r="J6">
        <v>0</v>
      </c>
      <c r="K6">
        <v>0</v>
      </c>
      <c r="L6">
        <v>0</v>
      </c>
      <c r="M6">
        <v>0</v>
      </c>
      <c r="N6">
        <v>39.437814659722228</v>
      </c>
      <c r="O6">
        <v>28.30260478125</v>
      </c>
    </row>
    <row r="7" spans="1:15" ht="16" thickBot="1" x14ac:dyDescent="0.25">
      <c r="A7" s="33" t="s">
        <v>6</v>
      </c>
      <c r="B7" s="33">
        <v>12.045753166666675</v>
      </c>
      <c r="C7" s="33">
        <v>22.523708151041667</v>
      </c>
      <c r="D7" s="33">
        <v>24.122423119791669</v>
      </c>
      <c r="E7" s="33">
        <v>16.971683541666653</v>
      </c>
      <c r="F7" s="33">
        <v>28.30260478125</v>
      </c>
      <c r="G7" s="33">
        <f>VARP(data!$G$8:$G$247)</f>
        <v>31.024203609375004</v>
      </c>
      <c r="J7">
        <v>0</v>
      </c>
      <c r="K7">
        <v>0</v>
      </c>
      <c r="L7">
        <v>0</v>
      </c>
      <c r="M7">
        <v>0</v>
      </c>
      <c r="N7">
        <v>0</v>
      </c>
      <c r="O7">
        <v>31.024203609375004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6" sqref="A6"/>
    </sheetView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mvf</vt:lpstr>
      <vt:lpstr>mv_noshort</vt:lpstr>
      <vt:lpstr>Sheet1</vt:lpstr>
      <vt:lpstr>A6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2022-04-30T13:56:18Z</dcterms:modified>
</cp:coreProperties>
</file>